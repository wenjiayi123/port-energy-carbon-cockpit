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eccc31350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ca5a11b0de04410"/>
    <x:sheet xmlns:r="http://schemas.openxmlformats.org/officeDocument/2006/relationships" name="现场概况" sheetId="2" r:id="R01c858ecea73411a"/>
    <x:sheet xmlns:r="http://schemas.openxmlformats.org/officeDocument/2006/relationships" name="系统映射" sheetId="3" r:id="Rdce4a149149c4f33"/>
    <x:sheet xmlns:r="http://schemas.openxmlformats.org/officeDocument/2006/relationships" name="设备电表点表" sheetId="4" r:id="Rca4086cccac54c82"/>
    <x:sheet xmlns:r="http://schemas.openxmlformats.org/officeDocument/2006/relationships" name="网络分区" sheetId="5" r:id="Re83a0e2d025d4145"/>
    <x:sheet xmlns:r="http://schemas.openxmlformats.org/officeDocument/2006/relationships" name="RACI" sheetId="6" r:id="R6fa9cc06fe57425a"/>
    <x:sheet xmlns:r="http://schemas.openxmlformats.org/officeDocument/2006/relationships" name="180天影子计划" sheetId="7" r:id="Rd3465ff13d2a47b4"/>
    <x:sheet xmlns:r="http://schemas.openxmlformats.org/officeDocument/2006/relationships" name="13域状态" sheetId="8" r:id="Rbae9217fc59f422a"/>
    <x:sheet xmlns:r="http://schemas.openxmlformats.org/officeDocument/2006/relationships" name="16门禁" sheetId="9" r:id="R259eaa7da7d64f11"/>
    <x:sheet xmlns:r="http://schemas.openxmlformats.org/officeDocument/2006/relationships" name="六方签字" sheetId="10" r:id="R82c90633e1544b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1">
    <x:font>
      <x:sz val="11"/>
      <x:name val="Carlito"/>
    </x:font>
    <x:font>
      <x:b/>
      <x:sz val="18"/>
      <x:color rgb="FFFFFFFF"/>
      <x:name val="Aptos Display"/>
    </x:font>
    <x:font>
      <x:sz val="10"/>
      <x:color rgb="FF5B6B78"/>
      <x:name val="Aptos"/>
    </x:font>
    <x:font>
      <x:b/>
      <x:sz val="11"/>
      <x:color rgb="FF991B1B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  <x:font>
      <x:b/>
      <x:sz val="11"/>
      <x:name val="Carlito"/>
    </x:font>
    <x:font>
      <x:sz val="11"/>
      <x:color rgb="FF92400E"/>
      <x:name val="Carlito"/>
    </x:font>
    <x:font>
      <x:b/>
      <x:sz val="10"/>
      <x:color rgb="FF172B3A"/>
      <x:name val="Aptos"/>
    </x:font>
    <x:font>
      <x:b/>
      <x:sz val="10"/>
      <x:color rgb="FFFFFFFF"/>
      <x:name val="Aptos"/>
    </x:font>
    <x:font>
      <x:sz val="9"/>
      <x:color rgb="FF172B3A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1F8"/>
      </x:patternFill>
    </x:fill>
    <x:fill>
      <x:patternFill patternType="solid">
        <x:fgColor rgb="FFFEE2E2"/>
      </x:patternFill>
    </x:fill>
    <x:fill>
      <x:patternFill patternType="solid">
        <x:fgColor rgb="FF0E7490"/>
      </x:patternFill>
    </x:fill>
    <x:fill>
      <x:patternFill patternType="solid">
        <x:fgColor rgb="FFF3F6F8"/>
      </x:patternFill>
    </x:fill>
    <x:fill>
      <x:patternFill patternType="solid">
        <x:fgColor rgb="FFFEF3C7"/>
      </x:patternFill>
    </x:fill>
    <x:fill>
      <x:patternFill patternType="solid">
        <x:fgColor rgb="FFFFF4CC"/>
      </x:patternFill>
    </x:fill>
    <x:fill>
      <x:patternFill patternType="solid">
        <x:fgColor rgb="FFDDF4F8"/>
      </x:patternFill>
    </x:fill>
  </x:fills>
  <x:borders count="21">
    <x:border/>
    <x:border>
      <x:left style="medium">
        <x:color rgb="FFDC2626"/>
      </x:left>
      <x:top style="medium">
        <x:color rgb="FFDC2626"/>
      </x:top>
      <x:bottom style="medium">
        <x:color rgb="FFDC2626"/>
      </x:bottom>
    </x:border>
    <x:border>
      <x:top style="medium">
        <x:color rgb="FFDC2626"/>
      </x:top>
      <x:bottom style="medium">
        <x:color rgb="FFDC2626"/>
      </x:bottom>
    </x:border>
    <x:border>
      <x:right style="medium">
        <x:color rgb="FFDC2626"/>
      </x:right>
      <x:top style="medium">
        <x:color rgb="FFDC2626"/>
      </x:top>
      <x:bottom style="medium">
        <x:color rgb="FFDC2626"/>
      </x:bottom>
    </x:border>
    <x:border>
      <x:right style="thin">
        <x:color rgb="FFC8D5DE"/>
      </x:right>
      <x:bottom style="thin">
        <x:color rgb="FFC8D5DE"/>
      </x:bottom>
    </x:border>
    <x:border>
      <x:left style="thin">
        <x:color rgb="FFC8D5DE"/>
      </x:left>
      <x:right style="thin">
        <x:color rgb="FFC8D5DE"/>
      </x:right>
      <x:bottom style="thin">
        <x:color rgb="FFC8D5DE"/>
      </x:bottom>
    </x:border>
    <x:border>
      <x:left style="thin">
        <x:color rgb="FFC8D5DE"/>
      </x:left>
      <x:bottom style="thin">
        <x:color rgb="FFC8D5DE"/>
      </x:bottom>
    </x:border>
    <x:border>
      <x:right style="thin">
        <x:color rgb="FFC8D5DE"/>
      </x:right>
      <x:top style="thin">
        <x:color rgb="FFC8D5DE"/>
      </x:top>
      <x:bottom style="thin">
        <x:color rgb="FFC8D5DE"/>
      </x:bottom>
    </x:border>
    <x:border>
      <x:left style="thin">
        <x:color rgb="FFC8D5DE"/>
      </x:left>
      <x:right style="thin">
        <x:color rgb="FFC8D5DE"/>
      </x:right>
      <x:top style="thin">
        <x:color rgb="FFC8D5DE"/>
      </x:top>
      <x:bottom style="thin">
        <x:color rgb="FFC8D5DE"/>
      </x:bottom>
    </x:border>
    <x:border>
      <x:left style="thin">
        <x:color rgb="FFC8D5DE"/>
      </x:left>
      <x:top style="thin">
        <x:color rgb="FFC8D5DE"/>
      </x:top>
      <x:bottom style="thin">
        <x:color rgb="FFC8D5DE"/>
      </x:bottom>
    </x:border>
    <x:border>
      <x:right style="thin">
        <x:color rgb="FFC8D5DE"/>
      </x:right>
      <x:top style="thin">
        <x:color rgb="FFC8D5DE"/>
      </x:top>
    </x:border>
    <x:border>
      <x:left style="thin">
        <x:color rgb="FFC8D5DE"/>
      </x:left>
      <x:right style="thin">
        <x:color rgb="FFC8D5DE"/>
      </x:right>
      <x:top style="thin">
        <x:color rgb="FFC8D5DE"/>
      </x:top>
    </x:border>
    <x:border>
      <x:left style="thin">
        <x:color rgb="FFC8D5DE"/>
      </x:left>
      <x:top style="thin">
        <x:color rgb="FFC8D5DE"/>
      </x:top>
    </x:border>
    <x:border>
      <x:top style="thin">
        <x:color rgb="FFC8D5DE"/>
      </x:top>
    </x:border>
    <x:border>
      <x:left style="thin">
        <x:color rgb="FFC8D5DE"/>
      </x:left>
    </x:border>
    <x:border>
      <x:right style="thin">
        <x:color rgb="FFC8D5DE"/>
      </x:right>
    </x:border>
    <x:border>
      <x:bottom style="thin">
        <x:color rgb="FFC8D5DE"/>
      </x:bottom>
    </x:border>
    <x:border>
      <x:top style="thin">
        <x:color rgb="FFC8D5DE"/>
      </x:top>
      <x:bottom style="thin">
        <x:color rgb="FFC8D5DE"/>
      </x:bottom>
    </x:border>
    <x:border>
      <x:bottom style="thin">
        <x:color rgb="FFE5EBEF"/>
      </x:bottom>
    </x:border>
    <x:border>
      <x:top style="thin">
        <x:color rgb="FFE5EBEF"/>
      </x:top>
      <x:bottom style="thin">
        <x:color rgb="FFE5EBEF"/>
      </x:bottom>
    </x:border>
    <x:border>
      <x:top style="thin">
        <x:color rgb="FFE5EBEF"/>
      </x:top>
      <x:bottom style="thin">
        <x:color rgb="FFC8D5DE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0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6" xfId="0" applyNumberFormat="1" applyFont="1" applyFill="1" applyBorder="1"/>
    <x:xf numFmtId="0" fontId="0" fillId="6" borderId="16" xfId="0" applyNumberFormat="1" applyFont="1" applyFill="1" applyBorder="1"/>
    <x:xf numFmtId="0" fontId="0" fillId="6" borderId="4" xfId="0" applyNumberFormat="1" applyFont="1" applyFill="1" applyBorder="1"/>
    <x:xf numFmtId="0" fontId="0" fillId="6" borderId="12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5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16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3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9" xfId="0" applyNumberFormat="1" applyFont="1" applyFill="1" applyBorder="1"/>
    <x:xf numFmtId="0" fontId="8" fillId="9" borderId="17" xfId="0" applyNumberFormat="1" applyFont="1" applyFill="1" applyBorder="1"/>
    <x:xf numFmtId="0" fontId="8" fillId="9" borderId="7" xfId="0" applyNumberFormat="1" applyFont="1" applyFill="1" applyBorder="1"/>
    <x:xf numFmtId="200" fontId="8" fillId="9" borderId="17" xfId="0" applyNumberFormat="1" applyFont="1" applyFill="1" applyBorder="1"/>
    <x:xf numFmtId="0" fontId="9" fillId="5" borderId="0" xfId="0" applyNumberFormat="1" applyFont="1" applyFill="1" applyBorder="1"/>
    <x:xf numFmtId="0" fontId="9" fillId="5" borderId="9" xfId="0" applyNumberFormat="1" applyFont="1" applyFill="1" applyBorder="1"/>
    <x:xf numFmtId="0" fontId="9" fillId="5" borderId="17" xfId="0" applyNumberFormat="1" applyFont="1" applyFill="1" applyBorder="1"/>
    <x:xf numFmtId="0" fontId="9" fillId="5" borderId="7" xfId="0" applyNumberFormat="1" applyFont="1" applyFill="1" applyBorder="1"/>
    <x:xf numFmtId="0" fontId="9" fillId="5" borderId="9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horizontal="center" wrapText="1"/>
    </x:xf>
    <x:xf numFmtId="0" fontId="9" fillId="5" borderId="17" xfId="0" applyNumberFormat="1" applyFont="1" applyFill="1" applyBorder="1" applyAlignment="1">
      <x:alignment horizontal="center" wrapText="1"/>
    </x:xf>
    <x:xf numFmtId="0" fontId="9" fillId="5" borderId="7" xfId="0" applyNumberFormat="1" applyFont="1" applyFill="1" applyBorder="1" applyAlignment="1">
      <x:alignment horizontal="center" wrapText="1"/>
    </x:xf>
    <x:xf numFmtId="0" fontId="9" fillId="5" borderId="9" xfId="0" applyNumberFormat="1" applyFont="1" applyFill="1" applyBorder="1" applyAlignment="1">
      <x:alignment horizontal="center" vertical="center" wrapText="1"/>
    </x:xf>
    <x:xf numFmtId="0" fontId="9" fillId="5" borderId="17" xfId="0" applyNumberFormat="1" applyFont="1" applyFill="1" applyBorder="1" applyAlignment="1">
      <x:alignment horizontal="center" vertical="center" wrapText="1"/>
    </x:xf>
    <x:xf numFmtId="0" fontId="9" fillId="5" borderId="7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18" xfId="0" applyNumberFormat="1" applyFont="1" applyFill="1" applyBorder="1"/>
    <x:xf numFmtId="0" fontId="10" fillId="0" borderId="19" xfId="0" applyNumberFormat="1" applyFont="1" applyFill="1" applyBorder="1"/>
    <x:xf numFmtId="0" fontId="10" fillId="0" borderId="20" xfId="0" applyNumberFormat="1" applyFont="1" applyFill="1" applyBorder="1"/>
    <x:xf numFmtId="0" fontId="10" fillId="0" borderId="18" xfId="0" applyNumberFormat="1" applyFont="1" applyFill="1" applyBorder="1" applyAlignment="1">
      <x:alignment wrapText="1"/>
    </x:xf>
    <x:xf numFmtId="0" fontId="10" fillId="0" borderId="19" xfId="0" applyNumberFormat="1" applyFont="1" applyFill="1" applyBorder="1" applyAlignment="1">
      <x:alignment wrapText="1"/>
    </x:xf>
    <x:xf numFmtId="0" fontId="10" fillId="0" borderId="20" xfId="0" applyNumberFormat="1" applyFont="1" applyFill="1" applyBorder="1" applyAlignment="1">
      <x:alignment wrapText="1"/>
    </x:xf>
    <x:xf numFmtId="0" fontId="10" fillId="0" borderId="18" xfId="0" applyNumberFormat="1" applyFont="1" applyFill="1" applyBorder="1" applyAlignment="1">
      <x:alignment vertical="center" wrapText="1"/>
    </x:xf>
    <x:xf numFmtId="0" fontId="10" fillId="0" borderId="19" xfId="0" applyNumberFormat="1" applyFont="1" applyFill="1" applyBorder="1" applyAlignment="1">
      <x:alignment vertical="center" wrapText="1"/>
    </x:xf>
    <x:xf numFmtId="0" fontId="10" fillId="0" borderId="20" xfId="0" applyNumberFormat="1" applyFont="1" applyFill="1" applyBorder="1" applyAlignment="1">
      <x:alignment vertical="center" wrapText="1"/>
    </x:xf>
    <x:xf numFmtId="0" fontId="8" fillId="9" borderId="9" xfId="0" applyNumberFormat="1" applyFont="1" applyFill="1" applyBorder="1" applyAlignment="1">
      <x:alignment vertical="center"/>
    </x:xf>
    <x:xf numFmtId="0" fontId="8" fillId="9" borderId="17" xfId="0" applyNumberFormat="1" applyFont="1" applyFill="1" applyBorder="1" applyAlignment="1">
      <x:alignment vertical="center"/>
    </x:xf>
    <x:xf numFmtId="200" fontId="8" fillId="9" borderId="17" xfId="0" applyNumberFormat="1" applyFont="1" applyFill="1" applyBorder="1" applyAlignment="1">
      <x:alignment vertical="center"/>
    </x:xf>
    <x:xf numFmtId="0" fontId="8" fillId="9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57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0dc0bed3cd4e21" /><Relationship Type="http://schemas.openxmlformats.org/officeDocument/2006/relationships/theme" Target="/xl/theme/theme1.xml" Id="R5739ce5b5a824138" /><Relationship Type="http://schemas.microsoft.com/office/2022/11/relationships/FeaturePropertyBag" Target="/xl/featurePropertyBag/featurePropertyBag.xml" Id="R5a9e43a59ac748bf" /><Relationship Type="http://schemas.openxmlformats.org/officeDocument/2006/relationships/sharedStrings" Target="/xl/sharedStrings.xml" Id="R8534f0b03d7a43c5" /><Relationship Type="http://schemas.openxmlformats.org/officeDocument/2006/relationships/worksheet" Target="/xl/worksheets/sheet1.xml" Id="R2ca5a11b0de04410" /><Relationship Type="http://schemas.openxmlformats.org/officeDocument/2006/relationships/worksheet" Target="/xl/worksheets/sheet2.xml" Id="R01c858ecea73411a" /><Relationship Type="http://schemas.openxmlformats.org/officeDocument/2006/relationships/worksheet" Target="/xl/worksheets/sheet3.xml" Id="Rdce4a149149c4f33" /><Relationship Type="http://schemas.openxmlformats.org/officeDocument/2006/relationships/worksheet" Target="/xl/worksheets/sheet4.xml" Id="Rca4086cccac54c82" /><Relationship Type="http://schemas.openxmlformats.org/officeDocument/2006/relationships/worksheet" Target="/xl/worksheets/sheet5.xml" Id="Re83a0e2d025d4145" /><Relationship Type="http://schemas.openxmlformats.org/officeDocument/2006/relationships/worksheet" Target="/xl/worksheets/sheet6.xml" Id="R6fa9cc06fe57425a" /><Relationship Type="http://schemas.openxmlformats.org/officeDocument/2006/relationships/worksheet" Target="/xl/worksheets/sheet7.xml" Id="Rd3465ff13d2a47b4" /><Relationship Type="http://schemas.openxmlformats.org/officeDocument/2006/relationships/worksheet" Target="/xl/worksheets/sheet8.xml" Id="Rbae9217fc59f422a" /><Relationship Type="http://schemas.openxmlformats.org/officeDocument/2006/relationships/worksheet" Target="/xl/worksheets/sheet9.xml" Id="R259eaa7da7d64f11" /><Relationship Type="http://schemas.openxmlformats.org/officeDocument/2006/relationships/worksheet" Target="/xl/worksheets/sheet10.xml" Id="R82c90633e1544b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ystemMappingTable" displayName="SystemMappingTable" ref="A5:Y18" headerRowCount="1" totalsRowCount="0" totalsRowShown="0">
  <x:tableColumns count="25">
    <x:tableColumn id="1" name="mapping_id"/>
    <x:tableColumn id="2" name="adapter_class"/>
    <x:tableColumn id="3" name="domain"/>
    <x:tableColumn id="4" name="source_system"/>
    <x:tableColumn id="5" name="source_owner"/>
    <x:tableColumn id="6" name="target_adapter"/>
    <x:tableColumn id="7" name="protocol"/>
    <x:tableColumn id="8" name="endpoint_zone"/>
    <x:tableColumn id="9" name="direction"/>
    <x:tableColumn id="10" name="write_allowed"/>
    <x:tableColumn id="11" name="source_record_key"/>
    <x:tableColumn id="12" name="event_id_field"/>
    <x:tableColumn id="13" name="observed_at_field"/>
    <x:tableColumn id="14" name="received_at_field"/>
    <x:tableColumn id="15" name="unit_field"/>
    <x:tableColumn id="16" name="quality_field"/>
    <x:tableColumn id="17" name="revision_field"/>
    <x:tableColumn id="18" name="receipt_field"/>
    <x:tableColumn id="19" name="max_age_seconds"/>
    <x:tableColumn id="20" name="poll_or_push"/>
    <x:tableColumn id="21" name="schema_version"/>
    <x:tableColumn id="22" name="test_case_id"/>
    <x:tableColumn id="23" name="status"/>
    <x:tableColumn id="24" name="evidence_sha256"/>
    <x:tableColumn id="2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erPointTable" displayName="MeterPointTable" ref="A5:AB19" headerRowCount="1" totalsRowCount="0" totalsRowShown="0">
  <x:tableColumns count="28">
    <x:tableColumn id="1" name="point_id"/>
    <x:tableColumn id="2" name="asset_id"/>
    <x:tableColumn id="3" name="asset_type"/>
    <x:tableColumn id="4" name="feeder_id"/>
    <x:tableColumn id="5" name="meter_id"/>
    <x:tableColumn id="6" name="signal_name"/>
    <x:tableColumn id="7" name="external_tag"/>
    <x:tableColumn id="8" name="measurement_kind"/>
    <x:tableColumn id="9" name="unit"/>
    <x:tableColumn id="10" name="scale"/>
    <x:tableColumn id="11" name="aggregation"/>
    <x:tableColumn id="12" name="sample_seconds"/>
    <x:tableColumn id="13" name="source_system"/>
    <x:tableColumn id="14" name="source_record_key"/>
    <x:tableColumn id="15" name="calibration_certificate_id"/>
    <x:tableColumn id="16" name="calibration_due_at"/>
    <x:tableColumn id="17" name="quality_code_field"/>
    <x:tableColumn id="18" name="timestamp_field"/>
    <x:tableColumn id="19" name="timezone"/>
    <x:tableColumn id="20" name="expected_min"/>
    <x:tableColumn id="21" name="expected_max"/>
    <x:tableColumn id="22" name="direction"/>
    <x:tableColumn id="23" name="criticality"/>
    <x:tableColumn id="24" name="reconciliation_group"/>
    <x:tableColumn id="25" name="owner"/>
    <x:tableColumn id="26" name="status"/>
    <x:tableColumn id="27" name="evidence_sha256"/>
    <x:tableColumn id="2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tworkZoneTable" displayName="NetworkZoneTable" ref="A5:T16" headerRowCount="1" totalsRowCount="0" totalsRowShown="0">
  <x:tableColumns count="20">
    <x:tableColumn id="1" name="record_id"/>
    <x:tableColumn id="2" name="record_type"/>
    <x:tableColumn id="3" name="zone_name"/>
    <x:tableColumn id="4" name="security_level"/>
    <x:tableColumn id="5" name="source_zone"/>
    <x:tableColumn id="6" name="destination_zone"/>
    <x:tableColumn id="7" name="protocol"/>
    <x:tableColumn id="8" name="ports"/>
    <x:tableColumn id="9" name="initiator"/>
    <x:tableColumn id="10" name="read_only"/>
    <x:tableColumn id="11" name="default_deny"/>
    <x:tableColumn id="12" name="mutual_tls"/>
    <x:tableColumn id="13" name="firewall_rule_id"/>
    <x:tableColumn id="14" name="jump_host_required"/>
    <x:tableColumn id="15" name="mfa_required"/>
    <x:tableColumn id="16" name="session_recording"/>
    <x:tableColumn id="17" name="owner"/>
    <x:tableColumn id="18" name="status"/>
    <x:tableColumn id="19" name="evidence_sha256"/>
    <x:tableColumn id="2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ciTable" displayName="RaciTable" ref="A5:N16" headerRowCount="1" totalsRowCount="0" totalsRowShown="0">
  <x:tableColumns count="14">
    <x:tableColumn id="1" name="activity_id"/>
    <x:tableColumn id="2" name="activity"/>
    <x:tableColumn id="3" name="port_owner"/>
    <x:tableColumn id="4" name="operations_owner"/>
    <x:tableColumn id="5" name="energy_carbon_owner"/>
    <x:tableColumn id="6" name="ot_safety_owner"/>
    <x:tableColumn id="7" name="chief_information_security_officer"/>
    <x:tableColumn id="8" name="independent_verifier"/>
    <x:tableColumn id="9" name="data_owner"/>
    <x:tableColumn id="10" name="finance_owner"/>
    <x:tableColumn id="11" name="it_platform_owner"/>
    <x:tableColumn id="12" name="evidence_required"/>
    <x:tableColumn id="13" name="status"/>
    <x:tableColumn id="14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hadowPlanTable" displayName="ShadowPlanTable" ref="A5:N17" headerRowCount="1" totalsRowCount="0" totalsRowShown="0">
  <x:tableColumns count="14">
    <x:tableColumn id="1" name="work_package_id"/>
    <x:tableColumn id="2" name="phase"/>
    <x:tableColumn id="3" name="start_day"/>
    <x:tableColumn id="4" name="end_day"/>
    <x:tableColumn id="5" name="scenario"/>
    <x:tableColumn id="6" name="operating_season"/>
    <x:tableColumn id="7" name="objective"/>
    <x:tableColumn id="8" name="minimum_sample_count"/>
    <x:tableColumn id="9" name="acceptance_gate"/>
    <x:tableColumn id="10" name="evidence_owner"/>
    <x:tableColumn id="11" name="approval_role"/>
    <x:tableColumn id="12" name="status"/>
    <x:tableColumn id="13" name="evidence_sha256"/>
    <x:tableColumn id="1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omainAcceptanceTable" displayName="DomainAcceptanceTable" ref="A5:W18" headerRowCount="1" totalsRowCount="0" totalsRowShown="0">
  <x:tableColumns count="23">
    <x:tableColumn id="1" name="domain_id"/>
    <x:tableColumn id="2" name="domain"/>
    <x:tableColumn id="3" name="domain_name"/>
    <x:tableColumn id="4" name="owner_role"/>
    <x:tableColumn id="5" name="owner_system"/>
    <x:tableColumn id="6" name="report_schema_version"/>
    <x:tableColumn id="7" name="report_id"/>
    <x:tableColumn id="8" name="report_status"/>
    <x:tableColumn id="9" name="site_id"/>
    <x:tableColumn id="10" name="tenant_id"/>
    <x:tableColumn id="11" name="assessment_window_id"/>
    <x:tableColumn id="12" name="data_cutoff_at"/>
    <x:tableColumn id="13" name="observed_at"/>
    <x:tableColumn id="14" name="source_mode"/>
    <x:tableColumn id="15" name="source_record_ids"/>
    <x:tableColumn id="16" name="independently_verified"/>
    <x:tableColumn id="17" name="acceptance_conclusion"/>
    <x:tableColumn id="18" name="exception_ids"/>
    <x:tableColumn id="19" name="key_id"/>
    <x:tableColumn id="20" name="signed_payload_sha256"/>
    <x:tableColumn id="21" name="signature"/>
    <x:tableColumn id="22" name="status"/>
    <x:tableColumn id="2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utoverGateTable" displayName="CutoverGateTable" ref="A5:I21" headerRowCount="1" totalsRowCount="0" totalsRowShown="0">
  <x:tableColumns count="9">
    <x:tableColumn id="1" name="gate_id"/>
    <x:tableColumn id="2" name="gate_name"/>
    <x:tableColumn id="3" name="required_condition"/>
    <x:tableColumn id="4" name="evidence_reference"/>
    <x:tableColumn id="5" name="owner_role"/>
    <x:tableColumn id="6" name="status"/>
    <x:tableColumn id="7" name="verified_at"/>
    <x:tableColumn id="8" name="verifier_id"/>
    <x:tableColumn id="9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pprovalRegisterTable" displayName="ApprovalRegisterTable" ref="A5:K11" headerRowCount="1" totalsRowCount="0" totalsRowShown="0">
  <x:tableColumns count="11">
    <x:tableColumn id="1" name="approval_id"/>
    <x:tableColumn id="2" name="role"/>
    <x:tableColumn id="3" name="approver_id"/>
    <x:tableColumn id="4" name="decision"/>
    <x:tableColumn id="5" name="approved_at"/>
    <x:tableColumn id="6" name="acceptance_package_sha256"/>
    <x:tableColumn id="7" name="approval_record_sha256"/>
    <x:tableColumn id="8" name="key_id"/>
    <x:tableColumn id="9" name="signature"/>
    <x:tableColumn id="10" name="status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34cc12c98ce44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8a2ba31643d4e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7bc6116c30549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146deec87a54c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ff3f374eef646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65833ea8e2349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e52f2d26ad64f6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dcf2081af23f4d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25" hidden="0" customWidth="1"/>
    <x:col min="4" max="4" width="25" hidden="0" customWidth="1"/>
    <x:col min="5" max="5" width="17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港口能碳驾驶舱｜实港现场交付包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用途：跨部门完成现场接入、180 天影子验收与外部变更委员会审查材料；黄色单元格为港口业主输入，红色状态表示阻断。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</x:row>
    <x:row r="4" ht="42" customHeight="1">
      <x:c r="A4" s="16" t="str">
        <x:v>结论边界：本工作簿是现场实施与验收载体，不授予生产权限。应用必须始终保持 production_authority=false、production_dispatch_allowed=false、interlock_bypass_allowed=false。</x:v>
      </x:c>
      <x:c r="B4" s="17"/>
      <x:c r="C4" s="17"/>
      <x:c r="D4" s="17"/>
      <x:c r="E4" s="17"/>
      <x:c r="F4" s="17"/>
      <x:c r="G4" s="17"/>
      <x:c r="H4" s="17"/>
      <x:c r="I4" s="17"/>
      <x:c r="J4" s="18"/>
    </x:row>
    <x:row r="5">
      <x:c r="A5" s="69"/>
      <x:c r="B5" s="69"/>
      <x:c r="C5" s="69"/>
      <x:c r="D5" s="69"/>
      <x:c r="E5" s="69"/>
      <x:c r="F5" s="69"/>
      <x:c r="G5" s="69"/>
      <x:c r="H5" s="69"/>
      <x:c r="I5" s="69"/>
      <x:c r="J5" s="69"/>
    </x:row>
    <x:row r="6" ht="28" customHeight="1">
      <x:c r="A6" s="70" t="str">
        <x:v>阶段</x:v>
      </x:c>
      <x:c r="B6" s="70" t="str">
        <x:v>现场动作</x:v>
      </x:c>
      <x:c r="C6" s="70" t="str">
        <x:v>责任输出</x:v>
      </x:c>
      <x:c r="D6" s="70" t="str">
        <x:v>通过条件</x:v>
      </x:c>
      <x:c r="E6" s="69"/>
      <x:c r="F6" s="70" t="str">
        <x:v>填写与签署规则</x:v>
      </x:c>
      <x:c r="G6" s="70"/>
      <x:c r="H6" s="70"/>
      <x:c r="I6" s="70"/>
      <x:c r="J6" s="70"/>
    </x:row>
    <x:row r="7" ht="34" customHeight="1">
      <x:c r="A7" s="71" t="str">
        <x:v>A 基础设施</x:v>
      </x:c>
      <x:c r="B7" s="72" t="str">
        <x:v>冻结站点、租户、发布、环境和控制边界</x:v>
      </x:c>
      <x:c r="C7" s="72" t="str">
        <x:v>现场概况、网络分区、RACI</x:v>
      </x:c>
      <x:c r="D7" s="73" t="str">
        <x:v>外部网关和独立联锁持有控制权</x:v>
      </x:c>
      <x:c r="E7" s="69"/>
      <x:c r="F7" s="74" t="str">
        <x:v>1. 在港口受控空间填写，不录入私钥、密码、长期令牌或现场证书。
2. 工作簿便于协作；CSV/YAML/JSON 是自动校验与接口导入的权威模板。
3. 模板检查：make site-delivery-check。
4. 现场严格检查：backend/.venv/bin/python scripts/validate_site_delivery_kit.py deployment/site_delivery --strict。
5. 严格检查通过后，在隔离签名环境签署完整包；签后禁止替换附件。
6. eligible_for_external_cutover_review 仅表示材料可送审，不等于自动投产。</x:v>
      </x:c>
      <x:c r="G7" s="75"/>
      <x:c r="H7" s="75"/>
      <x:c r="I7" s="75"/>
      <x:c r="J7" s="76"/>
    </x:row>
    <x:row r="8" ht="34" customHeight="1">
      <x:c r="A8" s="77" t="str">
        <x:v>B 只读接入</x:v>
      </x:c>
      <x:c r="B8" s="78" t="str">
        <x:v>接入六类实时源并完成设备电表点表</x:v>
      </x:c>
      <x:c r="C8" s="78" t="str">
        <x:v>系统映射、设备电表点表</x:v>
      </x:c>
      <x:c r="D8" s="79" t="str">
        <x:v>字段血缘、时效、回执、校准和对账通过</x:v>
      </x:c>
      <x:c r="E8" s="69"/>
      <x:c r="F8" s="80"/>
      <x:c r="G8" s="81"/>
      <x:c r="H8" s="81"/>
      <x:c r="I8" s="81"/>
      <x:c r="J8" s="82"/>
    </x:row>
    <x:row r="9" ht="34" customHeight="1">
      <x:c r="A9" s="77" t="str">
        <x:v>C 影子验证</x:v>
      </x:c>
      <x:c r="B9" s="78" t="str">
        <x:v>连续 180 天只读运行与故障注入</x:v>
      </x:c>
      <x:c r="C9" s="78" t="str">
        <x:v>180天影子计划</x:v>
      </x:c>
      <x:c r="D9" s="79" t="str">
        <x:v>两个运营季节、六类场景、演练和人工否决闭环</x:v>
      </x:c>
      <x:c r="E9" s="69"/>
      <x:c r="F9" s="80"/>
      <x:c r="G9" s="81"/>
      <x:c r="H9" s="81"/>
      <x:c r="I9" s="81"/>
      <x:c r="J9" s="82"/>
    </x:row>
    <x:row r="10" ht="34" customHeight="1">
      <x:c r="A10" s="77" t="str">
        <x:v>D 预生产验收</x:v>
      </x:c>
      <x:c r="B10" s="78" t="str">
        <x:v>冻结十三域报告、十六门禁和完整包摘要</x:v>
      </x:c>
      <x:c r="C10" s="78" t="str">
        <x:v>13域状态、16门禁、六方签字</x:v>
      </x:c>
      <x:c r="D10" s="79" t="str">
        <x:v>无例外、无一级二级缺陷、同包签字</x:v>
      </x:c>
      <x:c r="E10" s="69"/>
      <x:c r="F10" s="80"/>
      <x:c r="G10" s="81"/>
      <x:c r="H10" s="81"/>
      <x:c r="I10" s="81"/>
      <x:c r="J10" s="82"/>
    </x:row>
    <x:row r="11" ht="34" customHeight="1">
      <x:c r="A11" s="83" t="str">
        <x:v>E 外部切换</x:v>
      </x:c>
      <x:c r="B11" s="84" t="str">
        <x:v>外部变更委员会在获批窗口操作现场网关</x:v>
      </x:c>
      <x:c r="C11" s="84" t="str">
        <x:v>变更单、在岗记录、回滚记录</x:v>
      </x:c>
      <x:c r="D11" s="85" t="str">
        <x:v>应用仍为建议和评估角色</x:v>
      </x:c>
      <x:c r="E11" s="69"/>
      <x:c r="F11" s="80"/>
      <x:c r="G11" s="81"/>
      <x:c r="H11" s="81"/>
      <x:c r="I11" s="81"/>
      <x:c r="J11" s="82"/>
    </x:row>
    <x:row r="12" ht="34" customHeight="1">
      <x:c r="A12" s="69"/>
      <x:c r="B12" s="69"/>
      <x:c r="C12" s="69"/>
      <x:c r="D12" s="69"/>
      <x:c r="E12" s="69"/>
      <x:c r="F12" s="86"/>
      <x:c r="G12" s="87"/>
      <x:c r="H12" s="87"/>
      <x:c r="I12" s="87"/>
      <x:c r="J12" s="88"/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</x:row>
    <x:row r="14" ht="30" customHeight="1">
      <x:c r="A14" s="89" t="str">
        <x:v>状态颜色：绿色=已接受/已通过/已批准；黄色=待填写或待开始；红色=阻断或拒绝。任何红色项存在时均不得宣称现场可投产。</x:v>
      </x:c>
      <x:c r="B14" s="89"/>
      <x:c r="C14" s="89"/>
      <x:c r="D14" s="89"/>
      <x:c r="E14" s="89"/>
      <x:c r="F14" s="89"/>
      <x:c r="G14" s="89"/>
      <x:c r="H14" s="89"/>
      <x:c r="I14" s="89"/>
      <x:c r="J14" s="89"/>
    </x:row>
  </x:sheetData>
  <x:mergeCells>
    <x:mergeCell ref="A1:J1"/>
    <x:mergeCell ref="A2:J2"/>
    <x:mergeCell ref="A4:J4"/>
    <x:mergeCell ref="F6:J6"/>
    <x:mergeCell ref="F7:J12"/>
    <x:mergeCell ref="A14:J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7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3" t="str">
        <x:v>现场概况与总就绪度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所有关键标识和摘要必须绑定同一站点、租户、窗口、截止点和不可变发布版本。工作簿计算只用于协作跟踪，接口复算才是审查依据。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</x:row>
    <x:row r="4" ht="28" customHeight="1">
      <x:c r="A4" s="70" t="str">
        <x:v>现场输入</x:v>
      </x:c>
      <x:c r="B4" s="70" t="str">
        <x:v>值</x:v>
      </x:c>
      <x:c r="C4" s="69"/>
      <x:c r="D4" s="70" t="str">
        <x:v>交付域</x:v>
      </x:c>
      <x:c r="E4" s="70" t="str">
        <x:v>已完成</x:v>
      </x:c>
      <x:c r="F4" s="70" t="str">
        <x:v>总数</x:v>
      </x:c>
      <x:c r="G4" s="70" t="str">
        <x:v>完成率</x:v>
      </x:c>
      <x:c r="H4" s="69"/>
      <x:c r="I4" s="69"/>
      <x:c r="J4" s="69"/>
    </x:row>
    <x:row r="5" ht="25" customHeight="1">
      <x:c r="A5" s="104" t="str">
        <x:v>site_id</x:v>
      </x:c>
      <x:c r="B5" s="105" t="str">
        <x:v>REPLACE_WITH_SITE_ID</x:v>
      </x:c>
      <x:c r="C5" s="69"/>
      <x:c r="D5" s="106" t="str">
        <x:v>系统映射</x:v>
      </x:c>
      <x:c r="E5" s="107" t="n">
        <x:f>COUNTIF('系统映射'!W6:W18,"accepted")</x:f>
        <x:v>0</x:v>
      </x:c>
      <x:c r="F5" s="107" t="n">
        <x:f>COUNTA('系统映射'!A6:A18)</x:f>
        <x:v>13</x:v>
      </x:c>
      <x:c r="G5" s="108" t="n">
        <x:f>IF(F5=0,0,E5/F5)</x:f>
        <x:v>0</x:v>
      </x:c>
      <x:c r="H5" s="69"/>
      <x:c r="I5" s="69"/>
      <x:c r="J5" s="69"/>
    </x:row>
    <x:row r="6" ht="25" customHeight="1">
      <x:c r="A6" s="104" t="str">
        <x:v>site_name</x:v>
      </x:c>
      <x:c r="B6" s="105" t="str">
        <x:v>REPLACE_WITH_SITE_NAME</x:v>
      </x:c>
      <x:c r="C6" s="69"/>
      <x:c r="D6" s="109" t="str">
        <x:v>设备电表点表</x:v>
      </x:c>
      <x:c r="E6" s="110" t="n">
        <x:f>COUNTIF('设备电表点表'!Z6:Z19,"accepted")</x:f>
        <x:v>0</x:v>
      </x:c>
      <x:c r="F6" s="110" t="n">
        <x:f>COUNTA('设备电表点表'!A6:A19)</x:f>
        <x:v>14</x:v>
      </x:c>
      <x:c r="G6" s="111" t="n">
        <x:f>IF(F6=0,0,E6/F6)</x:f>
        <x:v>0</x:v>
      </x:c>
      <x:c r="H6" s="69"/>
      <x:c r="I6" s="69"/>
      <x:c r="J6" s="69"/>
    </x:row>
    <x:row r="7" ht="25" customHeight="1">
      <x:c r="A7" s="104" t="str">
        <x:v>terminal_id</x:v>
      </x:c>
      <x:c r="B7" s="105" t="str">
        <x:v>REPLACE_WITH_TERMINAL_ID</x:v>
      </x:c>
      <x:c r="C7" s="69"/>
      <x:c r="D7" s="109" t="str">
        <x:v>网络分区</x:v>
      </x:c>
      <x:c r="E7" s="110" t="n">
        <x:f>COUNTIF('网络分区'!R6:R16,"accepted")</x:f>
        <x:v>0</x:v>
      </x:c>
      <x:c r="F7" s="110" t="n">
        <x:f>COUNTA('网络分区'!A6:A16)</x:f>
        <x:v>11</x:v>
      </x:c>
      <x:c r="G7" s="111" t="n">
        <x:f>IF(F7=0,0,E7/F7)</x:f>
        <x:v>0</x:v>
      </x:c>
      <x:c r="H7" s="69"/>
      <x:c r="I7" s="69"/>
      <x:c r="J7" s="69"/>
    </x:row>
    <x:row r="8" ht="25" customHeight="1">
      <x:c r="A8" s="104" t="str">
        <x:v>tenant_id</x:v>
      </x:c>
      <x:c r="B8" s="105" t="str">
        <x:v>REPLACE_WITH_TENANT_ID</x:v>
      </x:c>
      <x:c r="C8" s="69"/>
      <x:c r="D8" s="109" t="str">
        <x:v>RACI</x:v>
      </x:c>
      <x:c r="E8" s="110" t="n">
        <x:f>COUNTIF('RACI'!M6:M16,"accepted")</x:f>
        <x:v>0</x:v>
      </x:c>
      <x:c r="F8" s="110" t="n">
        <x:f>COUNTA('RACI'!A6:A16)</x:f>
        <x:v>11</x:v>
      </x:c>
      <x:c r="G8" s="111" t="n">
        <x:f>IF(F8=0,0,E8/F8)</x:f>
        <x:v>0</x:v>
      </x:c>
      <x:c r="H8" s="69"/>
      <x:c r="I8" s="69"/>
      <x:c r="J8" s="69"/>
    </x:row>
    <x:row r="9" ht="25" customHeight="1">
      <x:c r="A9" s="104" t="str">
        <x:v>target_release</x:v>
      </x:c>
      <x:c r="B9" s="105" t="str">
        <x:v>REPLACE_WITH_IMMUTABLE_RELEASE</x:v>
      </x:c>
      <x:c r="C9" s="69"/>
      <x:c r="D9" s="109" t="str">
        <x:v>180天影子</x:v>
      </x:c>
      <x:c r="E9" s="110" t="n">
        <x:f>COUNTIF('180天影子计划'!L6:L17,"accepted")</x:f>
        <x:v>0</x:v>
      </x:c>
      <x:c r="F9" s="110" t="n">
        <x:f>COUNTA('180天影子计划'!A6:A17)</x:f>
        <x:v>12</x:v>
      </x:c>
      <x:c r="G9" s="111" t="n">
        <x:f>IF(F9=0,0,E9/F9)</x:f>
        <x:v>0</x:v>
      </x:c>
      <x:c r="H9" s="69"/>
      <x:c r="I9" s="69"/>
      <x:c r="J9" s="69"/>
    </x:row>
    <x:row r="10" ht="25" customHeight="1">
      <x:c r="A10" s="104" t="str">
        <x:v>assessment_window_id</x:v>
      </x:c>
      <x:c r="B10" s="105" t="str">
        <x:v>REPLACE_WITH_ASSESSMENT_WINDOW_ID</x:v>
      </x:c>
      <x:c r="C10" s="69"/>
      <x:c r="D10" s="109" t="str">
        <x:v>13域</x:v>
      </x:c>
      <x:c r="E10" s="110" t="n">
        <x:f>COUNTIF('13域状态'!V6:V18,"accepted")</x:f>
        <x:v>0</x:v>
      </x:c>
      <x:c r="F10" s="110" t="n">
        <x:f>COUNTA('13域状态'!A6:A18)</x:f>
        <x:v>13</x:v>
      </x:c>
      <x:c r="G10" s="111" t="n">
        <x:f>IF(F10=0,0,E10/F10)</x:f>
        <x:v>0</x:v>
      </x:c>
      <x:c r="H10" s="69"/>
      <x:c r="I10" s="69"/>
      <x:c r="J10" s="69"/>
    </x:row>
    <x:row r="11" ht="25" customHeight="1">
      <x:c r="A11" s="104" t="str">
        <x:v>assessment_start_at</x:v>
      </x:c>
      <x:c r="B11" s="105" t="str">
        <x:v>REPLACE_WITH_TIMEZONE_AWARE_ISO8601</x:v>
      </x:c>
      <x:c r="C11" s="69"/>
      <x:c r="D11" s="109" t="str">
        <x:v>16门禁</x:v>
      </x:c>
      <x:c r="E11" s="110" t="n">
        <x:f>COUNTIF('16门禁'!F6:F21,"passed")</x:f>
        <x:v>0</x:v>
      </x:c>
      <x:c r="F11" s="110" t="n">
        <x:f>COUNTA('16门禁'!A6:A21)</x:f>
        <x:v>16</x:v>
      </x:c>
      <x:c r="G11" s="111" t="n">
        <x:f>IF(F11=0,0,E11/F11)</x:f>
        <x:v>0</x:v>
      </x:c>
      <x:c r="H11" s="69"/>
      <x:c r="I11" s="69"/>
      <x:c r="J11" s="69"/>
    </x:row>
    <x:row r="12" ht="25" customHeight="1">
      <x:c r="A12" s="104" t="str">
        <x:v>assessment_end_at</x:v>
      </x:c>
      <x:c r="B12" s="105" t="str">
        <x:v>REPLACE_WITH_TIMEZONE_AWARE_ISO8601</x:v>
      </x:c>
      <x:c r="C12" s="69"/>
      <x:c r="D12" s="112" t="str">
        <x:v>六方签字</x:v>
      </x:c>
      <x:c r="E12" s="113" t="n">
        <x:f>COUNTIF('六方签字'!J6:J11,"approved")</x:f>
        <x:v>0</x:v>
      </x:c>
      <x:c r="F12" s="113" t="n">
        <x:f>COUNTA('六方签字'!A6:A11)</x:f>
        <x:v>6</x:v>
      </x:c>
      <x:c r="G12" s="114" t="n">
        <x:f>IF(F12=0,0,E12/F12)</x:f>
        <x:v>0</x:v>
      </x:c>
      <x:c r="H12" s="69"/>
      <x:c r="I12" s="69"/>
      <x:c r="J12" s="69"/>
    </x:row>
    <x:row r="13">
      <x:c r="A13" s="104" t="str">
        <x:v>data_cutoff_at</x:v>
      </x:c>
      <x:c r="B13" s="105" t="str">
        <x:v>REPLACE_WITH_TIMEZONE_AWARE_ISO8601</x:v>
      </x:c>
      <x:c r="C13" s="69"/>
      <x:c r="D13" s="69"/>
      <x:c r="E13" s="69"/>
      <x:c r="F13" s="69"/>
      <x:c r="G13" s="69"/>
      <x:c r="H13" s="69"/>
      <x:c r="I13" s="69"/>
      <x:c r="J13" s="69"/>
    </x:row>
    <x:row r="14" ht="28" customHeight="1">
      <x:c r="A14" s="104" t="str">
        <x:v>change_ticket_id</x:v>
      </x:c>
      <x:c r="B14" s="105" t="str">
        <x:v>REPLACE_WITH_CHANGE_TICKET_ID</x:v>
      </x:c>
      <x:c r="C14" s="69"/>
      <x:c r="D14" s="115" t="str">
        <x:v>总完成率</x:v>
      </x:c>
      <x:c r="E14" s="116" t="n">
        <x:f>MIN(G5:G12)</x:f>
        <x:v>0</x:v>
      </x:c>
      <x:c r="F14" s="115"/>
      <x:c r="G14" s="69"/>
      <x:c r="H14" s="69"/>
      <x:c r="I14" s="69"/>
      <x:c r="J14" s="69"/>
    </x:row>
    <x:row r="15" ht="28" customHeight="1">
      <x:c r="A15" s="104" t="str">
        <x:v>change_window_start_at</x:v>
      </x:c>
      <x:c r="B15" s="105" t="str">
        <x:v>REPLACE_WITH_TIMEZONE_AWARE_ISO8601</x:v>
      </x:c>
      <x:c r="C15" s="69"/>
      <x:c r="D15" s="115" t="str">
        <x:v>外部评审状态</x:v>
      </x:c>
      <x:c r="E15" s="115" t="str">
        <x:f>IF(E14=1,"仅可提交外部变更委员会审查","阻断：现场输入或验收未完成")</x:f>
        <x:v>阻断：现场输入或验收未完成</x:v>
      </x:c>
      <x:c r="F15" s="115"/>
      <x:c r="G15" s="69"/>
      <x:c r="H15" s="69"/>
      <x:c r="I15" s="69"/>
      <x:c r="J15" s="69"/>
    </x:row>
    <x:row r="16" ht="28" customHeight="1">
      <x:c r="A16" s="104" t="str">
        <x:v>change_window_end_at</x:v>
      </x:c>
      <x:c r="B16" s="105" t="str">
        <x:v>REPLACE_WITH_TIMEZONE_AWARE_ISO8601</x:v>
      </x:c>
      <x:c r="C16" s="69"/>
      <x:c r="D16" s="115" t="str">
        <x:v>应用生产授权</x:v>
      </x:c>
      <x:c r="E16" s="117" t="b">
        <x:v>0</x:v>
      </x:c>
      <x:c r="F16" s="115"/>
      <x:c r="G16" s="69"/>
      <x:c r="H16" s="69"/>
      <x:c r="I16" s="69"/>
      <x:c r="J16" s="69"/>
    </x:row>
    <x:row r="17" ht="28" customHeight="1">
      <x:c r="A17" s="104" t="str">
        <x:v>configuration_sha256</x:v>
      </x:c>
      <x:c r="B17" s="105" t="str">
        <x:v>REPLACE_WITH_64_HEX_SHA256</x:v>
      </x:c>
      <x:c r="C17" s="69"/>
      <x:c r="D17" s="115" t="str">
        <x:v>自动物理切换</x:v>
      </x:c>
      <x:c r="E17" s="117" t="b">
        <x:v>0</x:v>
      </x:c>
      <x:c r="F17" s="115"/>
      <x:c r="G17" s="69"/>
      <x:c r="H17" s="69"/>
      <x:c r="I17" s="69"/>
      <x:c r="J17" s="69"/>
    </x:row>
    <x:row r="18">
      <x:c r="A18" s="104" t="str">
        <x:v>infrastructure_as_code_sha256</x:v>
      </x:c>
      <x:c r="B18" s="105" t="str">
        <x:v>REPLACE_WITH_64_HEX_SHA256</x:v>
      </x:c>
      <x:c r="C18" s="69"/>
      <x:c r="D18" s="69"/>
      <x:c r="E18" s="69"/>
      <x:c r="F18" s="69"/>
      <x:c r="G18" s="69"/>
      <x:c r="H18" s="69"/>
      <x:c r="I18" s="69"/>
      <x:c r="J18" s="69"/>
    </x:row>
    <x:row r="19">
      <x:c r="A19" s="104" t="str">
        <x:v>project_owner_organization</x:v>
      </x:c>
      <x:c r="B19" s="105" t="str">
        <x:v>REPLACE_WITH_OWNER_ORGANIZATION</x:v>
      </x:c>
      <x:c r="C19" s="69"/>
      <x:c r="D19" s="69"/>
      <x:c r="E19" s="69"/>
      <x:c r="F19" s="69"/>
      <x:c r="G19" s="69"/>
      <x:c r="H19" s="69"/>
      <x:c r="I19" s="69"/>
      <x:c r="J19" s="69"/>
    </x:row>
  </x:sheetData>
  <x:mergeCells>
    <x:mergeCell ref="A1:J1"/>
    <x:mergeCell ref="A2:J2"/>
    <x:mergeCell ref="E15:F15"/>
  </x:mergeCells>
  <x:conditionalFormatting sqref="E15:F15">
    <x:cfRule type="containsText" dxfId="0" priority="1" operator="containsText" text="阻断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" hidden="0" customWidth="1"/>
    <x:col min="2" max="2" width="25" hidden="0" customWidth="1"/>
    <x:col min="3" max="3" width="25" hidden="0" customWidth="1"/>
    <x:col min="4" max="4" width="38" hidden="0" customWidth="1"/>
    <x:col min="5" max="5" width="38" hidden="0" customWidth="1"/>
    <x:col min="6" max="6" width="25" hidden="0" customWidth="1"/>
    <x:col min="7" max="7" width="25" hidden="0" customWidth="1"/>
    <x:col min="8" max="8" width="18.25" hidden="0" customWidth="1"/>
    <x:col min="9" max="9" width="18.25" hidden="0" customWidth="1"/>
    <x:col min="10" max="10" width="18.25" hidden="0" customWidth="1"/>
    <x:col min="11" max="11" width="32" hidden="0" customWidth="1"/>
    <x:col min="12" max="12" width="28.25" hidden="0" customWidth="1"/>
    <x:col min="13" max="13" width="32" hidden="0" customWidth="1"/>
    <x:col min="14" max="14" width="32" hidden="0" customWidth="1"/>
    <x:col min="15" max="15" width="23.25" hidden="0" customWidth="1"/>
    <x:col min="16" max="16" width="25" hidden="0" customWidth="1"/>
    <x:col min="17" max="17" width="25" hidden="0" customWidth="1"/>
    <x:col min="18" max="18" width="25" hidden="0" customWidth="1"/>
    <x:col min="19" max="19" width="20.75" hidden="0" customWidth="1"/>
    <x:col min="20" max="20" width="17" hidden="0" customWidth="1"/>
    <x:col min="21" max="21" width="25" hidden="0" customWidth="1"/>
    <x:col min="22" max="22" width="17" hidden="0" customWidth="1"/>
    <x:col min="23" max="23" width="15.75" hidden="0" customWidth="1"/>
    <x:col min="24" max="24" width="25" hidden="0" customWidth="1"/>
    <x:col min="25" max="25" width="25.75" hidden="0" customWidth="1"/>
  </x:cols>
  <x:sheetData>
    <x:row r="1" ht="34" customHeight="1">
      <x:c r="A1" s="3" t="str">
        <x:v>系统映射与数据血缘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30" customHeight="1">
      <x:c r="A2" s="7" t="str">
        <x:v>六类实时源及支撑系统均为只读或建议交接；write_allowed 必须保持 false。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3" ht="25" customHeight="1">
      <x:c r="A3" s="147" t="str">
        <x:v>已接受</x:v>
      </x:c>
      <x:c r="B3" s="148" t="n">
        <x:f>COUNTIF(W6:W18,"accepted")</x:f>
        <x:v>0</x:v>
      </x:c>
      <x:c r="C3" s="148" t="str">
        <x:v>总数</x:v>
      </x:c>
      <x:c r="D3" s="148" t="n">
        <x:f>COUNTA(A6:A18)</x:f>
        <x:v>13</x:v>
      </x:c>
      <x:c r="E3" s="148" t="str">
        <x:v>完成率</x:v>
      </x:c>
      <x:c r="F3" s="149" t="n">
        <x:f>IF(D3=0,0,B3/D3)</x:f>
        <x:v>0</x:v>
      </x:c>
      <x:c r="G3" s="148" t="str">
        <x:v>现场状态</x:v>
      </x:c>
      <x:c r="H3" s="150" t="str">
        <x:f>IF(F3=1,"完整","待补齐")</x:f>
        <x:v>待补齐</x:v>
      </x:c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</x:row>
    <x:row r="4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</x:row>
    <x:row r="5" ht="36" customHeight="1">
      <x:c r="A5" s="134" t="str">
        <x:v>mapping_id</x:v>
      </x:c>
      <x:c r="B5" s="135" t="str">
        <x:v>adapter_class</x:v>
      </x:c>
      <x:c r="C5" s="135" t="str">
        <x:v>domain</x:v>
      </x:c>
      <x:c r="D5" s="135" t="str">
        <x:v>source_system</x:v>
      </x:c>
      <x:c r="E5" s="135" t="str">
        <x:v>source_owner</x:v>
      </x:c>
      <x:c r="F5" s="135" t="str">
        <x:v>target_adapter</x:v>
      </x:c>
      <x:c r="G5" s="135" t="str">
        <x:v>protocol</x:v>
      </x:c>
      <x:c r="H5" s="135" t="str">
        <x:v>endpoint_zone</x:v>
      </x:c>
      <x:c r="I5" s="135" t="str">
        <x:v>direction</x:v>
      </x:c>
      <x:c r="J5" s="135" t="str">
        <x:v>write_allowed</x:v>
      </x:c>
      <x:c r="K5" s="135" t="str">
        <x:v>source_record_key</x:v>
      </x:c>
      <x:c r="L5" s="135" t="str">
        <x:v>event_id_field</x:v>
      </x:c>
      <x:c r="M5" s="135" t="str">
        <x:v>observed_at_field</x:v>
      </x:c>
      <x:c r="N5" s="135" t="str">
        <x:v>received_at_field</x:v>
      </x:c>
      <x:c r="O5" s="135" t="str">
        <x:v>unit_field</x:v>
      </x:c>
      <x:c r="P5" s="135" t="str">
        <x:v>quality_field</x:v>
      </x:c>
      <x:c r="Q5" s="135" t="str">
        <x:v>revision_field</x:v>
      </x:c>
      <x:c r="R5" s="135" t="str">
        <x:v>receipt_field</x:v>
      </x:c>
      <x:c r="S5" s="135" t="str">
        <x:v>max_age_seconds</x:v>
      </x:c>
      <x:c r="T5" s="135" t="str">
        <x:v>poll_or_push</x:v>
      </x:c>
      <x:c r="U5" s="135" t="str">
        <x:v>schema_version</x:v>
      </x:c>
      <x:c r="V5" s="135" t="str">
        <x:v>test_case_id</x:v>
      </x:c>
      <x:c r="W5" s="135" t="str">
        <x:v>status</x:v>
      </x:c>
      <x:c r="X5" s="135" t="str">
        <x:v>evidence_sha256</x:v>
      </x:c>
      <x:c r="Y5" s="136" t="str">
        <x:v>notes</x:v>
      </x:c>
    </x:row>
    <x:row r="6" ht="25" customHeight="1">
      <x:c r="A6" s="144" t="str">
        <x:v>MAP-001</x:v>
      </x:c>
      <x:c r="B6" s="144" t="str">
        <x:v>terminal_operations_system</x:v>
      </x:c>
      <x:c r="C6" s="144" t="str">
        <x:v>live_port_data</x:v>
      </x:c>
      <x:c r="D6" s="144" t="str">
        <x:v>REPLACE_WITH_TOS</x:v>
      </x:c>
      <x:c r="E6" s="144" t="str">
        <x:v>REPLACE_WITH_TOS_OWNER</x:v>
      </x:c>
      <x:c r="F6" s="144" t="str">
        <x:v>tos_read_adapter</x:v>
      </x:c>
      <x:c r="G6" s="144" t="str">
        <x:v>REPLACE_WITH_PROTOCOL</x:v>
      </x:c>
      <x:c r="H6" s="144" t="str">
        <x:v>IT_DMZ</x:v>
      </x:c>
      <x:c r="I6" s="144" t="str">
        <x:v>inbound</x:v>
      </x:c>
      <x:c r="J6" s="144" t="str">
        <x:v>false</x:v>
      </x:c>
      <x:c r="K6" s="144" t="str">
        <x:v>REPLACE_WITH_SOURCE_KEY</x:v>
      </x:c>
      <x:c r="L6" s="144" t="str">
        <x:v>REPLACE_WITH_EVENT_ID</x:v>
      </x:c>
      <x:c r="M6" s="144" t="str">
        <x:v>REPLACE_WITH_OBSERVED_AT</x:v>
      </x:c>
      <x:c r="N6" s="144" t="str">
        <x:v>REPLACE_WITH_RECEIVED_AT</x:v>
      </x:c>
      <x:c r="O6" s="144" t="str">
        <x:v>REPLACE_WITH_UNIT</x:v>
      </x:c>
      <x:c r="P6" s="144" t="str">
        <x:v>REPLACE_WITH_QUALITY</x:v>
      </x:c>
      <x:c r="Q6" s="144" t="str">
        <x:v>REPLACE_WITH_REVISION</x:v>
      </x:c>
      <x:c r="R6" s="144" t="str">
        <x:v>REPLACE_WITH_RECEIPT</x:v>
      </x:c>
      <x:c r="S6" s="144" t="str">
        <x:v>60</x:v>
      </x:c>
      <x:c r="T6" s="144" t="str">
        <x:v>push</x:v>
      </x:c>
      <x:c r="U6" s="144" t="str">
        <x:v>terminal-operations.v1</x:v>
      </x:c>
      <x:c r="V6" s="144" t="str">
        <x:v>TC-LIVE-001</x:v>
      </x:c>
      <x:c r="W6" s="144" t="str">
        <x:v>not_started</x:v>
      </x:c>
      <x:c r="X6" s="144" t="str">
        <x:v>REPLACE_WITH_64_HEX_SHA256</x:v>
      </x:c>
      <x:c r="Y6" s="144" t="str">
        <x:v>只读接入且保留源记录与重启重发证据</x:v>
      </x:c>
    </x:row>
    <x:row r="7" ht="25" customHeight="1">
      <x:c r="A7" s="145" t="str">
        <x:v>MAP-002</x:v>
      </x:c>
      <x:c r="B7" s="145" t="str">
        <x:v>energy_management_system</x:v>
      </x:c>
      <x:c r="C7" s="145" t="str">
        <x:v>live_port_data</x:v>
      </x:c>
      <x:c r="D7" s="145" t="str">
        <x:v>REPLACE_WITH_EMS</x:v>
      </x:c>
      <x:c r="E7" s="145" t="str">
        <x:v>REPLACE_WITH_EMS_OWNER</x:v>
      </x:c>
      <x:c r="F7" s="145" t="str">
        <x:v>ems_read_adapter</x:v>
      </x:c>
      <x:c r="G7" s="145" t="str">
        <x:v>REPLACE_WITH_PROTOCOL</x:v>
      </x:c>
      <x:c r="H7" s="145" t="str">
        <x:v>IT_DMZ</x:v>
      </x:c>
      <x:c r="I7" s="145" t="str">
        <x:v>inbound</x:v>
      </x:c>
      <x:c r="J7" s="145" t="str">
        <x:v>false</x:v>
      </x:c>
      <x:c r="K7" s="145" t="str">
        <x:v>REPLACE_WITH_SOURCE_KEY</x:v>
      </x:c>
      <x:c r="L7" s="145" t="str">
        <x:v>REPLACE_WITH_EVENT_ID</x:v>
      </x:c>
      <x:c r="M7" s="145" t="str">
        <x:v>REPLACE_WITH_OBSERVED_AT</x:v>
      </x:c>
      <x:c r="N7" s="145" t="str">
        <x:v>REPLACE_WITH_RECEIVED_AT</x:v>
      </x:c>
      <x:c r="O7" s="145" t="str">
        <x:v>REPLACE_WITH_UNIT</x:v>
      </x:c>
      <x:c r="P7" s="145" t="str">
        <x:v>REPLACE_WITH_QUALITY</x:v>
      </x:c>
      <x:c r="Q7" s="145" t="str">
        <x:v>REPLACE_WITH_REVISION</x:v>
      </x:c>
      <x:c r="R7" s="145" t="str">
        <x:v>REPLACE_WITH_RECEIPT</x:v>
      </x:c>
      <x:c r="S7" s="145" t="str">
        <x:v>30</x:v>
      </x:c>
      <x:c r="T7" s="145" t="str">
        <x:v>push</x:v>
      </x:c>
      <x:c r="U7" s="145" t="str">
        <x:v>energy-management.v1</x:v>
      </x:c>
      <x:c r="V7" s="145" t="str">
        <x:v>TC-LIVE-002</x:v>
      </x:c>
      <x:c r="W7" s="145" t="str">
        <x:v>not_started</x:v>
      </x:c>
      <x:c r="X7" s="145" t="str">
        <x:v>REPLACE_WITH_64_HEX_SHA256</x:v>
      </x:c>
      <x:c r="Y7" s="145" t="str">
        <x:v>只读能源快照</x:v>
      </x:c>
    </x:row>
    <x:row r="8" ht="25" customHeight="1">
      <x:c r="A8" s="145" t="str">
        <x:v>MAP-003</x:v>
      </x:c>
      <x:c r="B8" s="145" t="str">
        <x:v>vessel_traffic_and_berth</x:v>
      </x:c>
      <x:c r="C8" s="145" t="str">
        <x:v>live_port_data</x:v>
      </x:c>
      <x:c r="D8" s="145" t="str">
        <x:v>REPLACE_WITH_AIS_VTS_PCS</x:v>
      </x:c>
      <x:c r="E8" s="145" t="str">
        <x:v>REPLACE_WITH_MARINE_OWNER</x:v>
      </x:c>
      <x:c r="F8" s="145" t="str">
        <x:v>vessel_berth_read_adapter</x:v>
      </x:c>
      <x:c r="G8" s="145" t="str">
        <x:v>REPLACE_WITH_PROTOCOL</x:v>
      </x:c>
      <x:c r="H8" s="145" t="str">
        <x:v>IT_DMZ</x:v>
      </x:c>
      <x:c r="I8" s="145" t="str">
        <x:v>inbound</x:v>
      </x:c>
      <x:c r="J8" s="145" t="str">
        <x:v>false</x:v>
      </x:c>
      <x:c r="K8" s="145" t="str">
        <x:v>REPLACE_WITH_SOURCE_KEY</x:v>
      </x:c>
      <x:c r="L8" s="145" t="str">
        <x:v>REPLACE_WITH_EVENT_ID</x:v>
      </x:c>
      <x:c r="M8" s="145" t="str">
        <x:v>REPLACE_WITH_OBSERVED_AT</x:v>
      </x:c>
      <x:c r="N8" s="145" t="str">
        <x:v>REPLACE_WITH_RECEIVED_AT</x:v>
      </x:c>
      <x:c r="O8" s="145" t="str">
        <x:v>REPLACE_WITH_UNIT</x:v>
      </x:c>
      <x:c r="P8" s="145" t="str">
        <x:v>REPLACE_WITH_QUALITY</x:v>
      </x:c>
      <x:c r="Q8" s="145" t="str">
        <x:v>REPLACE_WITH_REVISION</x:v>
      </x:c>
      <x:c r="R8" s="145" t="str">
        <x:v>REPLACE_WITH_RECEIPT</x:v>
      </x:c>
      <x:c r="S8" s="145" t="str">
        <x:v>60</x:v>
      </x:c>
      <x:c r="T8" s="145" t="str">
        <x:v>push</x:v>
      </x:c>
      <x:c r="U8" s="145" t="str">
        <x:v>vessel-berth.v1</x:v>
      </x:c>
      <x:c r="V8" s="145" t="str">
        <x:v>TC-LIVE-003</x:v>
      </x:c>
      <x:c r="W8" s="145" t="str">
        <x:v>not_started</x:v>
      </x:c>
      <x:c r="X8" s="145" t="str">
        <x:v>REPLACE_WITH_64_HEX_SHA256</x:v>
      </x:c>
      <x:c r="Y8" s="145" t="str">
        <x:v>自动识别系统船舶交通服务系统和泊位计划</x:v>
      </x:c>
    </x:row>
    <x:row r="9" ht="25" customHeight="1">
      <x:c r="A9" s="145" t="str">
        <x:v>MAP-004</x:v>
      </x:c>
      <x:c r="B9" s="145" t="str">
        <x:v>equipment_scada</x:v>
      </x:c>
      <x:c r="C9" s="145" t="str">
        <x:v>live_port_data</x:v>
      </x:c>
      <x:c r="D9" s="145" t="str">
        <x:v>REPLACE_WITH_SCADA</x:v>
      </x:c>
      <x:c r="E9" s="145" t="str">
        <x:v>REPLACE_WITH_EQUIPMENT_OWNER</x:v>
      </x:c>
      <x:c r="F9" s="145" t="str">
        <x:v>equipment_read_adapter</x:v>
      </x:c>
      <x:c r="G9" s="145" t="str">
        <x:v>REPLACE_WITH_PROTOCOL</x:v>
      </x:c>
      <x:c r="H9" s="145" t="str">
        <x:v>OT_DMZ</x:v>
      </x:c>
      <x:c r="I9" s="145" t="str">
        <x:v>inbound</x:v>
      </x:c>
      <x:c r="J9" s="145" t="str">
        <x:v>false</x:v>
      </x:c>
      <x:c r="K9" s="145" t="str">
        <x:v>REPLACE_WITH_SOURCE_KEY</x:v>
      </x:c>
      <x:c r="L9" s="145" t="str">
        <x:v>REPLACE_WITH_EVENT_ID</x:v>
      </x:c>
      <x:c r="M9" s="145" t="str">
        <x:v>REPLACE_WITH_OBSERVED_AT</x:v>
      </x:c>
      <x:c r="N9" s="145" t="str">
        <x:v>REPLACE_WITH_RECEIVED_AT</x:v>
      </x:c>
      <x:c r="O9" s="145" t="str">
        <x:v>REPLACE_WITH_UNIT</x:v>
      </x:c>
      <x:c r="P9" s="145" t="str">
        <x:v>REPLACE_WITH_QUALITY</x:v>
      </x:c>
      <x:c r="Q9" s="145" t="str">
        <x:v>REPLACE_WITH_REVISION</x:v>
      </x:c>
      <x:c r="R9" s="145" t="str">
        <x:v>REPLACE_WITH_RECEIPT</x:v>
      </x:c>
      <x:c r="S9" s="145" t="str">
        <x:v>10</x:v>
      </x:c>
      <x:c r="T9" s="145" t="str">
        <x:v>push</x:v>
      </x:c>
      <x:c r="U9" s="145" t="str">
        <x:v>equipment-telemetry.v1</x:v>
      </x:c>
      <x:c r="V9" s="145" t="str">
        <x:v>TC-LIVE-004</x:v>
      </x:c>
      <x:c r="W9" s="145" t="str">
        <x:v>not_started</x:v>
      </x:c>
      <x:c r="X9" s="145" t="str">
        <x:v>REPLACE_WITH_64_HEX_SHA256</x:v>
      </x:c>
      <x:c r="Y9" s="145" t="str">
        <x:v>设备遥测与能力状态只读</x:v>
      </x:c>
    </x:row>
    <x:row r="10" ht="25" customHeight="1">
      <x:c r="A10" s="145" t="str">
        <x:v>MAP-005</x:v>
      </x:c>
      <x:c r="B10" s="145" t="str">
        <x:v>weather_navigation</x:v>
      </x:c>
      <x:c r="C10" s="145" t="str">
        <x:v>live_port_data</x:v>
      </x:c>
      <x:c r="D10" s="145" t="str">
        <x:v>REPLACE_WITH_WEATHER_SOURCE</x:v>
      </x:c>
      <x:c r="E10" s="145" t="str">
        <x:v>REPLACE_WITH_MARINE_OWNER</x:v>
      </x:c>
      <x:c r="F10" s="145" t="str">
        <x:v>weather_read_adapter</x:v>
      </x:c>
      <x:c r="G10" s="145" t="str">
        <x:v>REPLACE_WITH_PROTOCOL</x:v>
      </x:c>
      <x:c r="H10" s="145" t="str">
        <x:v>IT_DMZ</x:v>
      </x:c>
      <x:c r="I10" s="145" t="str">
        <x:v>inbound</x:v>
      </x:c>
      <x:c r="J10" s="145" t="str">
        <x:v>false</x:v>
      </x:c>
      <x:c r="K10" s="145" t="str">
        <x:v>REPLACE_WITH_SOURCE_KEY</x:v>
      </x:c>
      <x:c r="L10" s="145" t="str">
        <x:v>REPLACE_WITH_EVENT_ID</x:v>
      </x:c>
      <x:c r="M10" s="145" t="str">
        <x:v>REPLACE_WITH_OBSERVED_AT</x:v>
      </x:c>
      <x:c r="N10" s="145" t="str">
        <x:v>REPLACE_WITH_RECEIVED_AT</x:v>
      </x:c>
      <x:c r="O10" s="145" t="str">
        <x:v>REPLACE_WITH_UNIT</x:v>
      </x:c>
      <x:c r="P10" s="145" t="str">
        <x:v>REPLACE_WITH_QUALITY</x:v>
      </x:c>
      <x:c r="Q10" s="145" t="str">
        <x:v>REPLACE_WITH_REVISION</x:v>
      </x:c>
      <x:c r="R10" s="145" t="str">
        <x:v>REPLACE_WITH_RECEIPT</x:v>
      </x:c>
      <x:c r="S10" s="145" t="str">
        <x:v>300</x:v>
      </x:c>
      <x:c r="T10" s="145" t="str">
        <x:v>push</x:v>
      </x:c>
      <x:c r="U10" s="145" t="str">
        <x:v>weather-navigation.v1</x:v>
      </x:c>
      <x:c r="V10" s="145" t="str">
        <x:v>TC-LIVE-005</x:v>
      </x:c>
      <x:c r="W10" s="145" t="str">
        <x:v>not_started</x:v>
      </x:c>
      <x:c r="X10" s="145" t="str">
        <x:v>REPLACE_WITH_64_HEX_SHA256</x:v>
      </x:c>
      <x:c r="Y10" s="145" t="str">
        <x:v>极端天气场景来源</x:v>
      </x:c>
    </x:row>
    <x:row r="11" ht="25" customHeight="1">
      <x:c r="A11" s="145" t="str">
        <x:v>MAP-006</x:v>
      </x:c>
      <x:c r="B11" s="145" t="str">
        <x:v>shore_power_compatibility</x:v>
      </x:c>
      <x:c r="C11" s="145" t="str">
        <x:v>live_port_data</x:v>
      </x:c>
      <x:c r="D11" s="145" t="str">
        <x:v>REPLACE_WITH_SHORE_POWER_SYSTEM</x:v>
      </x:c>
      <x:c r="E11" s="145" t="str">
        <x:v>REPLACE_WITH_SHORE_POWER_OWNER</x:v>
      </x:c>
      <x:c r="F11" s="145" t="str">
        <x:v>shore_power_read_adapter</x:v>
      </x:c>
      <x:c r="G11" s="145" t="str">
        <x:v>REPLACE_WITH_PROTOCOL</x:v>
      </x:c>
      <x:c r="H11" s="145" t="str">
        <x:v>OT_DMZ</x:v>
      </x:c>
      <x:c r="I11" s="145" t="str">
        <x:v>inbound</x:v>
      </x:c>
      <x:c r="J11" s="145" t="str">
        <x:v>false</x:v>
      </x:c>
      <x:c r="K11" s="145" t="str">
        <x:v>REPLACE_WITH_SOURCE_KEY</x:v>
      </x:c>
      <x:c r="L11" s="145" t="str">
        <x:v>REPLACE_WITH_EVENT_ID</x:v>
      </x:c>
      <x:c r="M11" s="145" t="str">
        <x:v>REPLACE_WITH_OBSERVED_AT</x:v>
      </x:c>
      <x:c r="N11" s="145" t="str">
        <x:v>REPLACE_WITH_RECEIVED_AT</x:v>
      </x:c>
      <x:c r="O11" s="145" t="str">
        <x:v>REPLACE_WITH_UNIT</x:v>
      </x:c>
      <x:c r="P11" s="145" t="str">
        <x:v>REPLACE_WITH_QUALITY</x:v>
      </x:c>
      <x:c r="Q11" s="145" t="str">
        <x:v>REPLACE_WITH_REVISION</x:v>
      </x:c>
      <x:c r="R11" s="145" t="str">
        <x:v>REPLACE_WITH_RECEIPT</x:v>
      </x:c>
      <x:c r="S11" s="145" t="str">
        <x:v>10</x:v>
      </x:c>
      <x:c r="T11" s="145" t="str">
        <x:v>push</x:v>
      </x:c>
      <x:c r="U11" s="145" t="str">
        <x:v>shore-power.v1</x:v>
      </x:c>
      <x:c r="V11" s="145" t="str">
        <x:v>TC-LIVE-006</x:v>
      </x:c>
      <x:c r="W11" s="145" t="str">
        <x:v>not_started</x:v>
      </x:c>
      <x:c r="X11" s="145" t="str">
        <x:v>REPLACE_WITH_64_HEX_SHA256</x:v>
      </x:c>
      <x:c r="Y11" s="145" t="str">
        <x:v>岸电兼容性预约计量与回执</x:v>
      </x:c>
    </x:row>
    <x:row r="12" ht="25" customHeight="1">
      <x:c r="A12" s="145" t="str">
        <x:v>MAP-007</x:v>
      </x:c>
      <x:c r="B12" s="145" t="str">
        <x:v>building_management_system</x:v>
      </x:c>
      <x:c r="C12" s="145" t="str">
        <x:v>measurement_and_calibration</x:v>
      </x:c>
      <x:c r="D12" s="145" t="str">
        <x:v>REPLACE_WITH_BMS</x:v>
      </x:c>
      <x:c r="E12" s="145" t="str">
        <x:v>REPLACE_WITH_FACILITY_OWNER</x:v>
      </x:c>
      <x:c r="F12" s="145" t="str">
        <x:v>bms_read_adapter</x:v>
      </x:c>
      <x:c r="G12" s="145" t="str">
        <x:v>REPLACE_WITH_PROTOCOL</x:v>
      </x:c>
      <x:c r="H12" s="145" t="str">
        <x:v>IT_DMZ</x:v>
      </x:c>
      <x:c r="I12" s="145" t="str">
        <x:v>inbound</x:v>
      </x:c>
      <x:c r="J12" s="145" t="str">
        <x:v>false</x:v>
      </x:c>
      <x:c r="K12" s="145" t="str">
        <x:v>REPLACE_WITH_SOURCE_KEY</x:v>
      </x:c>
      <x:c r="L12" s="145" t="str">
        <x:v>REPLACE_WITH_EVENT_ID</x:v>
      </x:c>
      <x:c r="M12" s="145" t="str">
        <x:v>REPLACE_WITH_OBSERVED_AT</x:v>
      </x:c>
      <x:c r="N12" s="145" t="str">
        <x:v>REPLACE_WITH_RECEIVED_AT</x:v>
      </x:c>
      <x:c r="O12" s="145" t="str">
        <x:v>REPLACE_WITH_UNIT</x:v>
      </x:c>
      <x:c r="P12" s="145" t="str">
        <x:v>REPLACE_WITH_QUALITY</x:v>
      </x:c>
      <x:c r="Q12" s="145" t="str">
        <x:v>REPLACE_WITH_REVISION</x:v>
      </x:c>
      <x:c r="R12" s="145" t="str">
        <x:v>REPLACE_WITH_RECEIPT</x:v>
      </x:c>
      <x:c r="S12" s="145" t="str">
        <x:v>60</x:v>
      </x:c>
      <x:c r="T12" s="145" t="str">
        <x:v>push</x:v>
      </x:c>
      <x:c r="U12" s="145" t="str">
        <x:v>building-energy.v1</x:v>
      </x:c>
      <x:c r="V12" s="145" t="str">
        <x:v>TC-METER-001</x:v>
      </x:c>
      <x:c r="W12" s="145" t="str">
        <x:v>not_started</x:v>
      </x:c>
      <x:c r="X12" s="145" t="str">
        <x:v>REPLACE_WITH_64_HEX_SHA256</x:v>
      </x:c>
      <x:c r="Y12" s="145" t="str">
        <x:v>建筑分路负荷</x:v>
      </x:c>
    </x:row>
    <x:row r="13" ht="25" customHeight="1">
      <x:c r="A13" s="145" t="str">
        <x:v>MAP-008</x:v>
      </x:c>
      <x:c r="B13" s="145" t="str">
        <x:v>revenue_metering</x:v>
      </x:c>
      <x:c r="C13" s="145" t="str">
        <x:v>commercial_settlement</x:v>
      </x:c>
      <x:c r="D13" s="145" t="str">
        <x:v>REPLACE_WITH_REVENUE_METER_SYSTEM</x:v>
      </x:c>
      <x:c r="E13" s="145" t="str">
        <x:v>REPLACE_WITH_METER_OWNER</x:v>
      </x:c>
      <x:c r="F13" s="145" t="str">
        <x:v>revenue_meter_read_adapter</x:v>
      </x:c>
      <x:c r="G13" s="145" t="str">
        <x:v>REPLACE_WITH_PROTOCOL</x:v>
      </x:c>
      <x:c r="H13" s="145" t="str">
        <x:v>IT_DMZ</x:v>
      </x:c>
      <x:c r="I13" s="145" t="str">
        <x:v>inbound</x:v>
      </x:c>
      <x:c r="J13" s="145" t="str">
        <x:v>false</x:v>
      </x:c>
      <x:c r="K13" s="145" t="str">
        <x:v>REPLACE_WITH_SOURCE_KEY</x:v>
      </x:c>
      <x:c r="L13" s="145" t="str">
        <x:v>REPLACE_WITH_EVENT_ID</x:v>
      </x:c>
      <x:c r="M13" s="145" t="str">
        <x:v>REPLACE_WITH_OBSERVED_AT</x:v>
      </x:c>
      <x:c r="N13" s="145" t="str">
        <x:v>REPLACE_WITH_RECEIVED_AT</x:v>
      </x:c>
      <x:c r="O13" s="145" t="str">
        <x:v>REPLACE_WITH_UNIT</x:v>
      </x:c>
      <x:c r="P13" s="145" t="str">
        <x:v>REPLACE_WITH_QUALITY</x:v>
      </x:c>
      <x:c r="Q13" s="145" t="str">
        <x:v>REPLACE_WITH_REVISION</x:v>
      </x:c>
      <x:c r="R13" s="145" t="str">
        <x:v>REPLACE_WITH_RECEIPT</x:v>
      </x:c>
      <x:c r="S13" s="145" t="str">
        <x:v>900</x:v>
      </x:c>
      <x:c r="T13" s="145" t="str">
        <x:v>push</x:v>
      </x:c>
      <x:c r="U13" s="145" t="str">
        <x:v>revenue-meter.v1</x:v>
      </x:c>
      <x:c r="V13" s="145" t="str">
        <x:v>TC-BILL-001</x:v>
      </x:c>
      <x:c r="W13" s="145" t="str">
        <x:v>not_started</x:v>
      </x:c>
      <x:c r="X13" s="145" t="str">
        <x:v>REPLACE_WITH_64_HEX_SHA256</x:v>
      </x:c>
      <x:c r="Y13" s="145" t="str">
        <x:v>收入电表与账单对账</x:v>
      </x:c>
    </x:row>
    <x:row r="14" ht="25" customHeight="1">
      <x:c r="A14" s="145" t="str">
        <x:v>MAP-009</x:v>
      </x:c>
      <x:c r="B14" s="145" t="str">
        <x:v>utility_tariff_and_dr</x:v>
      </x:c>
      <x:c r="C14" s="145" t="str">
        <x:v>commercial_settlement</x:v>
      </x:c>
      <x:c r="D14" s="145" t="str">
        <x:v>REPLACE_WITH_UTILITY_SETTLEMENT</x:v>
      </x:c>
      <x:c r="E14" s="145" t="str">
        <x:v>REPLACE_WITH_FINANCE_OWNER</x:v>
      </x:c>
      <x:c r="F14" s="145" t="str">
        <x:v>tariff_settlement_read_adapter</x:v>
      </x:c>
      <x:c r="G14" s="145" t="str">
        <x:v>REPLACE_WITH_PROTOCOL</x:v>
      </x:c>
      <x:c r="H14" s="145" t="str">
        <x:v>IT_DMZ</x:v>
      </x:c>
      <x:c r="I14" s="145" t="str">
        <x:v>inbound</x:v>
      </x:c>
      <x:c r="J14" s="145" t="str">
        <x:v>false</x:v>
      </x:c>
      <x:c r="K14" s="145" t="str">
        <x:v>REPLACE_WITH_SOURCE_KEY</x:v>
      </x:c>
      <x:c r="L14" s="145" t="str">
        <x:v>REPLACE_WITH_EVENT_ID</x:v>
      </x:c>
      <x:c r="M14" s="145" t="str">
        <x:v>REPLACE_WITH_OBSERVED_AT</x:v>
      </x:c>
      <x:c r="N14" s="145" t="str">
        <x:v>REPLACE_WITH_RECEIVED_AT</x:v>
      </x:c>
      <x:c r="O14" s="145" t="str">
        <x:v>REPLACE_WITH_UNIT</x:v>
      </x:c>
      <x:c r="P14" s="145" t="str">
        <x:v>REPLACE_WITH_QUALITY</x:v>
      </x:c>
      <x:c r="Q14" s="145" t="str">
        <x:v>REPLACE_WITH_REVISION</x:v>
      </x:c>
      <x:c r="R14" s="145" t="str">
        <x:v>REPLACE_WITH_RECEIPT</x:v>
      </x:c>
      <x:c r="S14" s="145" t="str">
        <x:v>3600</x:v>
      </x:c>
      <x:c r="T14" s="145" t="str">
        <x:v>pull</x:v>
      </x:c>
      <x:c r="U14" s="145" t="str">
        <x:v>utility-settlement.v1</x:v>
      </x:c>
      <x:c r="V14" s="145" t="str">
        <x:v>TC-BILL-002</x:v>
      </x:c>
      <x:c r="W14" s="145" t="str">
        <x:v>not_started</x:v>
      </x:c>
      <x:c r="X14" s="145" t="str">
        <x:v>REPLACE_WITH_64_HEX_SHA256</x:v>
      </x:c>
      <x:c r="Y14" s="145" t="str">
        <x:v>分时电价需量需求响应和购电协议</x:v>
      </x:c>
    </x:row>
    <x:row r="15" ht="25" customHeight="1">
      <x:c r="A15" s="145" t="str">
        <x:v>MAP-010</x:v>
      </x:c>
      <x:c r="B15" s="145" t="str">
        <x:v>identity_provider</x:v>
      </x:c>
      <x:c r="C15" s="145" t="str">
        <x:v>enterprise_ot_security</x:v>
      </x:c>
      <x:c r="D15" s="145" t="str">
        <x:v>REPLACE_WITH_ENTERPRISE_IDP</x:v>
      </x:c>
      <x:c r="E15" s="145" t="str">
        <x:v>REPLACE_WITH_CISO_OWNER</x:v>
      </x:c>
      <x:c r="F15" s="145" t="str">
        <x:v>oidc_saml_gateway</x:v>
      </x:c>
      <x:c r="G15" s="145" t="str">
        <x:v>OIDC_OR_SAML</x:v>
      </x:c>
      <x:c r="H15" s="145" t="str">
        <x:v>IT_ZONE</x:v>
      </x:c>
      <x:c r="I15" s="145" t="str">
        <x:v>inbound</x:v>
      </x:c>
      <x:c r="J15" s="145" t="str">
        <x:v>false</x:v>
      </x:c>
      <x:c r="K15" s="145" t="str">
        <x:v>REPLACE_WITH_SUBJECT_ID</x:v>
      </x:c>
      <x:c r="L15" s="145" t="str">
        <x:v>REPLACE_WITH_EVENT_ID</x:v>
      </x:c>
      <x:c r="M15" s="145" t="str">
        <x:v>REPLACE_WITH_OBSERVED_AT</x:v>
      </x:c>
      <x:c r="N15" s="145" t="str">
        <x:v>REPLACE_WITH_RECEIVED_AT</x:v>
      </x:c>
      <x:c r="O15" s="145" t="str">
        <x:v>NA</x:v>
      </x:c>
      <x:c r="P15" s="145" t="str">
        <x:v>REPLACE_WITH_QUALITY</x:v>
      </x:c>
      <x:c r="Q15" s="145" t="str">
        <x:v>REPLACE_WITH_REVISION</x:v>
      </x:c>
      <x:c r="R15" s="145" t="str">
        <x:v>REPLACE_WITH_RECEIPT</x:v>
      </x:c>
      <x:c r="S15" s="145" t="str">
        <x:v>300</x:v>
      </x:c>
      <x:c r="T15" s="145" t="str">
        <x:v>push</x:v>
      </x:c>
      <x:c r="U15" s="145" t="str">
        <x:v>identity-tenant.v1</x:v>
      </x:c>
      <x:c r="V15" s="145" t="str">
        <x:v>TC-SEC-001</x:v>
      </x:c>
      <x:c r="W15" s="145" t="str">
        <x:v>not_started</x:v>
      </x:c>
      <x:c r="X15" s="145" t="str">
        <x:v>REPLACE_WITH_64_HEX_SHA256</x:v>
      </x:c>
      <x:c r="Y15" s="145" t="str">
        <x:v>企业单点登录多因素和租户绑定</x:v>
      </x:c>
    </x:row>
    <x:row r="16" ht="25" customHeight="1">
      <x:c r="A16" s="145" t="str">
        <x:v>MAP-011</x:v>
      </x:c>
      <x:c r="B16" s="145" t="str">
        <x:v>security_information_event_management</x:v>
      </x:c>
      <x:c r="C16" s="145" t="str">
        <x:v>enterprise_ot_security</x:v>
      </x:c>
      <x:c r="D16" s="145" t="str">
        <x:v>REPLACE_WITH_SIEM</x:v>
      </x:c>
      <x:c r="E16" s="145" t="str">
        <x:v>REPLACE_WITH_CISO_OWNER</x:v>
      </x:c>
      <x:c r="F16" s="145" t="str">
        <x:v>security_event_exporter</x:v>
      </x:c>
      <x:c r="G16" s="145" t="str">
        <x:v>TLS_SYSLOG_OR_API</x:v>
      </x:c>
      <x:c r="H16" s="145" t="str">
        <x:v>IT_DMZ</x:v>
      </x:c>
      <x:c r="I16" s="145" t="str">
        <x:v>outbound</x:v>
      </x:c>
      <x:c r="J16" s="145" t="str">
        <x:v>false</x:v>
      </x:c>
      <x:c r="K16" s="145" t="str">
        <x:v>REPLACE_WITH_SOURCE_KEY</x:v>
      </x:c>
      <x:c r="L16" s="145" t="str">
        <x:v>REPLACE_WITH_EVENT_ID</x:v>
      </x:c>
      <x:c r="M16" s="145" t="str">
        <x:v>REPLACE_WITH_OBSERVED_AT</x:v>
      </x:c>
      <x:c r="N16" s="145" t="str">
        <x:v>REPLACE_WITH_RECEIVED_AT</x:v>
      </x:c>
      <x:c r="O16" s="145" t="str">
        <x:v>NA</x:v>
      </x:c>
      <x:c r="P16" s="145" t="str">
        <x:v>REPLACE_WITH_QUALITY</x:v>
      </x:c>
      <x:c r="Q16" s="145" t="str">
        <x:v>REPLACE_WITH_REVISION</x:v>
      </x:c>
      <x:c r="R16" s="145" t="str">
        <x:v>REPLACE_WITH_RECEIPT</x:v>
      </x:c>
      <x:c r="S16" s="145" t="str">
        <x:v>60</x:v>
      </x:c>
      <x:c r="T16" s="145" t="str">
        <x:v>push</x:v>
      </x:c>
      <x:c r="U16" s="145" t="str">
        <x:v>security-event.v1</x:v>
      </x:c>
      <x:c r="V16" s="145" t="str">
        <x:v>TC-SEC-002</x:v>
      </x:c>
      <x:c r="W16" s="145" t="str">
        <x:v>not_started</x:v>
      </x:c>
      <x:c r="X16" s="145" t="str">
        <x:v>REPLACE_WITH_64_HEX_SHA256</x:v>
      </x:c>
      <x:c r="Y16" s="145" t="str">
        <x:v>只写安全事件副本但无生产控制指令</x:v>
      </x:c>
    </x:row>
    <x:row r="17" ht="25" customHeight="1">
      <x:c r="A17" s="145" t="str">
        <x:v>MAP-012</x:v>
      </x:c>
      <x:c r="B17" s="145" t="str">
        <x:v>worm_archive</x:v>
      </x:c>
      <x:c r="C17" s="145" t="str">
        <x:v>enterprise_ot_security</x:v>
      </x:c>
      <x:c r="D17" s="145" t="str">
        <x:v>REPLACE_WITH_WORM_ARCHIVE</x:v>
      </x:c>
      <x:c r="E17" s="145" t="str">
        <x:v>REPLACE_WITH_RECORDS_OWNER</x:v>
      </x:c>
      <x:c r="F17" s="145" t="str">
        <x:v>audit_archive_exporter</x:v>
      </x:c>
      <x:c r="G17" s="145" t="str">
        <x:v>MTLS_OBJECT_API</x:v>
      </x:c>
      <x:c r="H17" s="145" t="str">
        <x:v>IT_DMZ</x:v>
      </x:c>
      <x:c r="I17" s="145" t="str">
        <x:v>outbound</x:v>
      </x:c>
      <x:c r="J17" s="145" t="str">
        <x:v>false</x:v>
      </x:c>
      <x:c r="K17" s="145" t="str">
        <x:v>REPLACE_WITH_SOURCE_KEY</x:v>
      </x:c>
      <x:c r="L17" s="145" t="str">
        <x:v>REPLACE_WITH_EVENT_ID</x:v>
      </x:c>
      <x:c r="M17" s="145" t="str">
        <x:v>REPLACE_WITH_OBSERVED_AT</x:v>
      </x:c>
      <x:c r="N17" s="145" t="str">
        <x:v>REPLACE_WITH_RECEIVED_AT</x:v>
      </x:c>
      <x:c r="O17" s="145" t="str">
        <x:v>NA</x:v>
      </x:c>
      <x:c r="P17" s="145" t="str">
        <x:v>REPLACE_WITH_QUALITY</x:v>
      </x:c>
      <x:c r="Q17" s="145" t="str">
        <x:v>REPLACE_WITH_REVISION</x:v>
      </x:c>
      <x:c r="R17" s="145" t="str">
        <x:v>REPLACE_WITH_RECEIPT</x:v>
      </x:c>
      <x:c r="S17" s="145" t="str">
        <x:v>300</x:v>
      </x:c>
      <x:c r="T17" s="145" t="str">
        <x:v>push</x:v>
      </x:c>
      <x:c r="U17" s="145" t="str">
        <x:v>audit-archive.v1</x:v>
      </x:c>
      <x:c r="V17" s="145" t="str">
        <x:v>TC-SEC-003</x:v>
      </x:c>
      <x:c r="W17" s="145" t="str">
        <x:v>not_started</x:v>
      </x:c>
      <x:c r="X17" s="145" t="str">
        <x:v>REPLACE_WITH_64_HEX_SHA256</x:v>
      </x:c>
      <x:c r="Y17" s="145" t="str">
        <x:v>一次写入多次读取审计副本</x:v>
      </x:c>
    </x:row>
    <x:row r="18" ht="25" customHeight="1">
      <x:c r="A18" s="146" t="str">
        <x:v>MAP-013</x:v>
      </x:c>
      <x:c r="B18" s="146" t="str">
        <x:v>external_instruction_gateway</x:v>
      </x:c>
      <x:c r="C18" s="146" t="str">
        <x:v>production_execution</x:v>
      </x:c>
      <x:c r="D18" s="146" t="str">
        <x:v>REPLACE_WITH_EXTERNAL_GATEWAY</x:v>
      </x:c>
      <x:c r="E18" s="146" t="str">
        <x:v>REPLACE_WITH_CONTROL_OWNER</x:v>
      </x:c>
      <x:c r="F18" s="146" t="str">
        <x:v>advisory_handoff_adapter</x:v>
      </x:c>
      <x:c r="G18" s="146" t="str">
        <x:v>MTLS_API</x:v>
      </x:c>
      <x:c r="H18" s="146" t="str">
        <x:v>OT_DMZ</x:v>
      </x:c>
      <x:c r="I18" s="146" t="str">
        <x:v>advisory_only</x:v>
      </x:c>
      <x:c r="J18" s="146" t="str">
        <x:v>false</x:v>
      </x:c>
      <x:c r="K18" s="146" t="str">
        <x:v>REPLACE_WITH_ADVISORY_ID</x:v>
      </x:c>
      <x:c r="L18" s="146" t="str">
        <x:v>REPLACE_WITH_EVENT_ID</x:v>
      </x:c>
      <x:c r="M18" s="146" t="str">
        <x:v>REPLACE_WITH_OBSERVED_AT</x:v>
      </x:c>
      <x:c r="N18" s="146" t="str">
        <x:v>REPLACE_WITH_RECEIVED_AT</x:v>
      </x:c>
      <x:c r="O18" s="146" t="str">
        <x:v>NA</x:v>
      </x:c>
      <x:c r="P18" s="146" t="str">
        <x:v>REPLACE_WITH_QUALITY</x:v>
      </x:c>
      <x:c r="Q18" s="146" t="str">
        <x:v>REPLACE_WITH_REVISION</x:v>
      </x:c>
      <x:c r="R18" s="146" t="str">
        <x:v>REPLACE_WITH_RECEIPT</x:v>
      </x:c>
      <x:c r="S18" s="146" t="str">
        <x:v>5</x:v>
      </x:c>
      <x:c r="T18" s="146" t="str">
        <x:v>push</x:v>
      </x:c>
      <x:c r="U18" s="146" t="str">
        <x:v>advisory-handoff.v1</x:v>
      </x:c>
      <x:c r="V18" s="146" t="str">
        <x:v>TC-EXEC-001</x:v>
      </x:c>
      <x:c r="W18" s="146" t="str">
        <x:v>not_started</x:v>
      </x:c>
      <x:c r="X18" s="146" t="str">
        <x:v>REPLACE_WITH_64_HEX_SHA256</x:v>
      </x:c>
      <x:c r="Y18" s="146" t="str">
        <x:v>应用只交付建议外部网关持有物理控制权</x:v>
      </x:c>
    </x:row>
  </x:sheetData>
  <x:mergeCells>
    <x:mergeCell ref="A1:Y1"/>
    <x:mergeCell ref="A2:Y2"/>
  </x:mergeCells>
  <x:conditionalFormatting sqref="A6:Y18">
    <x:cfRule type="containsText" dxfId="1" priority="1" operator="containsText" text="REPLACE_WITH"/>
  </x:conditionalFormatting>
  <x:conditionalFormatting sqref="W6:W18">
    <x:cfRule type="containsText" dxfId="2" priority="2" operator="containsText" text="accepted"/>
    <x:cfRule type="containsText" dxfId="3" priority="3" operator="containsText" text="approved"/>
    <x:cfRule type="containsText" dxfId="4" priority="4" operator="containsText" text="passed"/>
    <x:cfRule type="containsText" dxfId="5" priority="5" operator="containsText" text="not_started"/>
    <x:cfRule type="containsText" dxfId="6" priority="6" operator="containsText" text="blocked"/>
    <x:cfRule type="containsText" dxfId="7" priority="7" operator="containsText" text="rejected"/>
  </x:conditionalFormatting>
  <x:dataValidations count="1">
    <x:dataValidation type="list" sqref="W6:W18">
      <x:formula1>"not_started,in_progress,accepted,rejected"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4cc12c98ce44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2" hidden="0" customWidth="1"/>
    <x:col min="8" max="8" width="22" hidden="0" customWidth="1"/>
    <x:col min="9" max="9" width="11" hidden="0" customWidth="1"/>
    <x:col min="10" max="10" width="11" hidden="0" customWidth="1"/>
    <x:col min="11" max="11" width="15.75" hidden="0" customWidth="1"/>
    <x:col min="12" max="12" width="19.5" hidden="0" customWidth="1"/>
    <x:col min="13" max="13" width="38" hidden="0" customWidth="1"/>
    <x:col min="14" max="14" width="30.75" hidden="0" customWidth="1"/>
    <x:col min="15" max="15" width="34.5" hidden="0" customWidth="1"/>
    <x:col min="16" max="16" width="38" hidden="0" customWidth="1"/>
    <x:col min="17" max="17" width="25" hidden="0" customWidth="1"/>
    <x:col min="18" max="18" width="25" hidden="0" customWidth="1"/>
    <x:col min="19" max="19" width="25" hidden="0" customWidth="1"/>
    <x:col min="20" max="20" width="17" hidden="0" customWidth="1"/>
    <x:col min="21" max="21" width="17" hidden="0" customWidth="1"/>
    <x:col min="22" max="22" width="22" hidden="0" customWidth="1"/>
    <x:col min="23" max="23" width="15.75" hidden="0" customWidth="1"/>
    <x:col min="24" max="24" width="25" hidden="0" customWidth="1"/>
    <x:col min="25" max="25" width="24.5" hidden="0" customWidth="1"/>
    <x:col min="26" max="26" width="15.75" hidden="0" customWidth="1"/>
    <x:col min="27" max="27" width="34.5" hidden="0" customWidth="1"/>
    <x:col min="28" max="28" width="22" hidden="0" customWidth="1"/>
  </x:cols>
  <x:sheetData>
    <x:row r="1" ht="34" customHeight="1">
      <x:c r="A1" s="3" t="str">
        <x:v>设备与电表点表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30" customHeight="1">
      <x:c r="A2" s="7" t="str">
        <x:v>分钟级或秒级分路计量必须绑定资产、馈线、电表、外部点号、校准证书、质量码、时间和对账组。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</x:row>
    <x:row r="3" ht="25" customHeight="1">
      <x:c r="A3" s="147" t="str">
        <x:v>已接受</x:v>
      </x:c>
      <x:c r="B3" s="148" t="n">
        <x:f>COUNTIF(Z6:Z19,"accepted")</x:f>
        <x:v>0</x:v>
      </x:c>
      <x:c r="C3" s="148" t="str">
        <x:v>总数</x:v>
      </x:c>
      <x:c r="D3" s="148" t="n">
        <x:f>COUNTA(A6:A19)</x:f>
        <x:v>14</x:v>
      </x:c>
      <x:c r="E3" s="148" t="str">
        <x:v>完成率</x:v>
      </x:c>
      <x:c r="F3" s="149" t="n">
        <x:f>IF(D3=0,0,B3/D3)</x:f>
        <x:v>0</x:v>
      </x:c>
      <x:c r="G3" s="148" t="str">
        <x:v>现场状态</x:v>
      </x:c>
      <x:c r="H3" s="150" t="str">
        <x:f>IF(F3=1,"完整","待补齐")</x:f>
        <x:v>待补齐</x:v>
      </x:c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  <x:c r="AA3" s="69"/>
      <x:c r="AB3" s="69"/>
    </x:row>
    <x:row r="4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  <x:c r="AA4" s="69"/>
      <x:c r="AB4" s="69"/>
    </x:row>
    <x:row r="5" ht="36" customHeight="1">
      <x:c r="A5" s="134" t="str">
        <x:v>point_id</x:v>
      </x:c>
      <x:c r="B5" s="135" t="str">
        <x:v>asset_id</x:v>
      </x:c>
      <x:c r="C5" s="135" t="str">
        <x:v>asset_type</x:v>
      </x:c>
      <x:c r="D5" s="135" t="str">
        <x:v>feeder_id</x:v>
      </x:c>
      <x:c r="E5" s="135" t="str">
        <x:v>meter_id</x:v>
      </x:c>
      <x:c r="F5" s="135" t="str">
        <x:v>signal_name</x:v>
      </x:c>
      <x:c r="G5" s="135" t="str">
        <x:v>external_tag</x:v>
      </x:c>
      <x:c r="H5" s="135" t="str">
        <x:v>measurement_kind</x:v>
      </x:c>
      <x:c r="I5" s="135" t="str">
        <x:v>unit</x:v>
      </x:c>
      <x:c r="J5" s="135" t="str">
        <x:v>scale</x:v>
      </x:c>
      <x:c r="K5" s="135" t="str">
        <x:v>aggregation</x:v>
      </x:c>
      <x:c r="L5" s="135" t="str">
        <x:v>sample_seconds</x:v>
      </x:c>
      <x:c r="M5" s="135" t="str">
        <x:v>source_system</x:v>
      </x:c>
      <x:c r="N5" s="135" t="str">
        <x:v>source_record_key</x:v>
      </x:c>
      <x:c r="O5" s="135" t="str">
        <x:v>calibration_certificate_id</x:v>
      </x:c>
      <x:c r="P5" s="135" t="str">
        <x:v>calibration_due_at</x:v>
      </x:c>
      <x:c r="Q5" s="135" t="str">
        <x:v>quality_code_field</x:v>
      </x:c>
      <x:c r="R5" s="135" t="str">
        <x:v>timestamp_field</x:v>
      </x:c>
      <x:c r="S5" s="135" t="str">
        <x:v>timezone</x:v>
      </x:c>
      <x:c r="T5" s="135" t="str">
        <x:v>expected_min</x:v>
      </x:c>
      <x:c r="U5" s="135" t="str">
        <x:v>expected_max</x:v>
      </x:c>
      <x:c r="V5" s="135" t="str">
        <x:v>direction</x:v>
      </x:c>
      <x:c r="W5" s="135" t="str">
        <x:v>criticality</x:v>
      </x:c>
      <x:c r="X5" s="135" t="str">
        <x:v>reconciliation_group</x:v>
      </x:c>
      <x:c r="Y5" s="135" t="str">
        <x:v>owner</x:v>
      </x:c>
      <x:c r="Z5" s="135" t="str">
        <x:v>status</x:v>
      </x:c>
      <x:c r="AA5" s="135" t="str">
        <x:v>evidence_sha256</x:v>
      </x:c>
      <x:c r="AB5" s="136" t="str">
        <x:v>notes</x:v>
      </x:c>
    </x:row>
    <x:row r="6" ht="25" customHeight="1">
      <x:c r="A6" s="144" t="str">
        <x:v>PNT-001</x:v>
      </x:c>
      <x:c r="B6" s="144" t="str">
        <x:v>REPLACE_WITH_QUAY_CRANE</x:v>
      </x:c>
      <x:c r="C6" s="144" t="str">
        <x:v>quay_crane</x:v>
      </x:c>
      <x:c r="D6" s="144" t="str">
        <x:v>REPLACE_WITH_FEEDER</x:v>
      </x:c>
      <x:c r="E6" s="144" t="str">
        <x:v>REPLACE_WITH_METER</x:v>
      </x:c>
      <x:c r="F6" s="144" t="str">
        <x:v>active_power</x:v>
      </x:c>
      <x:c r="G6" s="144" t="str">
        <x:v>REPLACE_WITH_TAG</x:v>
      </x:c>
      <x:c r="H6" s="144" t="str">
        <x:v>instantaneous</x:v>
      </x:c>
      <x:c r="I6" s="144" t="str">
        <x:v>kW</x:v>
      </x:c>
      <x:c r="J6" s="144" t="str">
        <x:v>1</x:v>
      </x:c>
      <x:c r="K6" s="144" t="str">
        <x:v>average</x:v>
      </x:c>
      <x:c r="L6" s="144" t="str">
        <x:v>1</x:v>
      </x:c>
      <x:c r="M6" s="144" t="str">
        <x:v>REPLACE_WITH_SCADA</x:v>
      </x:c>
      <x:c r="N6" s="144" t="str">
        <x:v>REPLACE_WITH_SOURCE_KEY</x:v>
      </x:c>
      <x:c r="O6" s="144" t="str">
        <x:v>REPLACE_WITH_CAL_CERT</x:v>
      </x:c>
      <x:c r="P6" s="144" t="str">
        <x:v>REPLACE_WITH_TIMEZONE_AWARE_ISO8601</x:v>
      </x:c>
      <x:c r="Q6" s="144" t="str">
        <x:v>REPLACE_WITH_QUALITY</x:v>
      </x:c>
      <x:c r="R6" s="144" t="str">
        <x:v>REPLACE_WITH_TIMESTAMP</x:v>
      </x:c>
      <x:c r="S6" s="144" t="str">
        <x:v>REPLACE_WITH_IANA_TIMEZONE</x:v>
      </x:c>
      <x:c r="T6" s="144" t="str">
        <x:v>0</x:v>
      </x:c>
      <x:c r="U6" s="144" t="str">
        <x:v>2500</x:v>
      </x:c>
      <x:c r="V6" s="144" t="str">
        <x:v>import</x:v>
      </x:c>
      <x:c r="W6" s="144" t="str">
        <x:v>critical</x:v>
      </x:c>
      <x:c r="X6" s="144" t="str">
        <x:v>RG-QUAY-CRANE</x:v>
      </x:c>
      <x:c r="Y6" s="144" t="str">
        <x:v>REPLACE_WITH_OWNER</x:v>
      </x:c>
      <x:c r="Z6" s="144" t="str">
        <x:v>not_started</x:v>
      </x:c>
      <x:c r="AA6" s="144" t="str">
        <x:v>REPLACE_WITH_64_HEX_SHA256</x:v>
      </x:c>
      <x:c r="AB6" s="144" t="str">
        <x:v>岸桥秒级有功功率</x:v>
      </x:c>
    </x:row>
    <x:row r="7" ht="25" customHeight="1">
      <x:c r="A7" s="145" t="str">
        <x:v>PNT-002</x:v>
      </x:c>
      <x:c r="B7" s="145" t="str">
        <x:v>REPLACE_WITH_YARD_CRANE</x:v>
      </x:c>
      <x:c r="C7" s="145" t="str">
        <x:v>yard_crane</x:v>
      </x:c>
      <x:c r="D7" s="145" t="str">
        <x:v>REPLACE_WITH_FEEDER</x:v>
      </x:c>
      <x:c r="E7" s="145" t="str">
        <x:v>REPLACE_WITH_METER</x:v>
      </x:c>
      <x:c r="F7" s="145" t="str">
        <x:v>active_power</x:v>
      </x:c>
      <x:c r="G7" s="145" t="str">
        <x:v>REPLACE_WITH_TAG</x:v>
      </x:c>
      <x:c r="H7" s="145" t="str">
        <x:v>instantaneous</x:v>
      </x:c>
      <x:c r="I7" s="145" t="str">
        <x:v>kW</x:v>
      </x:c>
      <x:c r="J7" s="145" t="str">
        <x:v>1</x:v>
      </x:c>
      <x:c r="K7" s="145" t="str">
        <x:v>average</x:v>
      </x:c>
      <x:c r="L7" s="145" t="str">
        <x:v>1</x:v>
      </x:c>
      <x:c r="M7" s="145" t="str">
        <x:v>REPLACE_WITH_SCADA</x:v>
      </x:c>
      <x:c r="N7" s="145" t="str">
        <x:v>REPLACE_WITH_SOURCE_KEY</x:v>
      </x:c>
      <x:c r="O7" s="145" t="str">
        <x:v>REPLACE_WITH_CAL_CERT</x:v>
      </x:c>
      <x:c r="P7" s="145" t="str">
        <x:v>REPLACE_WITH_TIMEZONE_AWARE_ISO8601</x:v>
      </x:c>
      <x:c r="Q7" s="145" t="str">
        <x:v>REPLACE_WITH_QUALITY</x:v>
      </x:c>
      <x:c r="R7" s="145" t="str">
        <x:v>REPLACE_WITH_TIMESTAMP</x:v>
      </x:c>
      <x:c r="S7" s="145" t="str">
        <x:v>REPLACE_WITH_IANA_TIMEZONE</x:v>
      </x:c>
      <x:c r="T7" s="145" t="str">
        <x:v>0</x:v>
      </x:c>
      <x:c r="U7" s="145" t="str">
        <x:v>1000</x:v>
      </x:c>
      <x:c r="V7" s="145" t="str">
        <x:v>import</x:v>
      </x:c>
      <x:c r="W7" s="145" t="str">
        <x:v>critical</x:v>
      </x:c>
      <x:c r="X7" s="145" t="str">
        <x:v>RG-YARD-CRANE</x:v>
      </x:c>
      <x:c r="Y7" s="145" t="str">
        <x:v>REPLACE_WITH_OWNER</x:v>
      </x:c>
      <x:c r="Z7" s="145" t="str">
        <x:v>not_started</x:v>
      </x:c>
      <x:c r="AA7" s="145" t="str">
        <x:v>REPLACE_WITH_64_HEX_SHA256</x:v>
      </x:c>
      <x:c r="AB7" s="145" t="str">
        <x:v>场桥秒级有功功率</x:v>
      </x:c>
    </x:row>
    <x:row r="8" ht="25" customHeight="1">
      <x:c r="A8" s="145" t="str">
        <x:v>PNT-003</x:v>
      </x:c>
      <x:c r="B8" s="145" t="str">
        <x:v>REPLACE_WITH_YARD_VEHICLE</x:v>
      </x:c>
      <x:c r="C8" s="145" t="str">
        <x:v>yard_vehicle</x:v>
      </x:c>
      <x:c r="D8" s="145" t="str">
        <x:v>REPLACE_WITH_FEEDER</x:v>
      </x:c>
      <x:c r="E8" s="145" t="str">
        <x:v>REPLACE_WITH_VEHICLE_METER</x:v>
      </x:c>
      <x:c r="F8" s="145" t="str">
        <x:v>battery_soc</x:v>
      </x:c>
      <x:c r="G8" s="145" t="str">
        <x:v>REPLACE_WITH_TAG</x:v>
      </x:c>
      <x:c r="H8" s="145" t="str">
        <x:v>instantaneous</x:v>
      </x:c>
      <x:c r="I8" s="145" t="str">
        <x:v>percent</x:v>
      </x:c>
      <x:c r="J8" s="145" t="str">
        <x:v>1</x:v>
      </x:c>
      <x:c r="K8" s="145" t="str">
        <x:v>last</x:v>
      </x:c>
      <x:c r="L8" s="145" t="str">
        <x:v>5</x:v>
      </x:c>
      <x:c r="M8" s="145" t="str">
        <x:v>REPLACE_WITH_FLEET_SYSTEM</x:v>
      </x:c>
      <x:c r="N8" s="145" t="str">
        <x:v>REPLACE_WITH_SOURCE_KEY</x:v>
      </x:c>
      <x:c r="O8" s="145" t="str">
        <x:v>REPLACE_WITH_CAL_CERT</x:v>
      </x:c>
      <x:c r="P8" s="145" t="str">
        <x:v>REPLACE_WITH_TIMEZONE_AWARE_ISO8601</x:v>
      </x:c>
      <x:c r="Q8" s="145" t="str">
        <x:v>REPLACE_WITH_QUALITY</x:v>
      </x:c>
      <x:c r="R8" s="145" t="str">
        <x:v>REPLACE_WITH_TIMESTAMP</x:v>
      </x:c>
      <x:c r="S8" s="145" t="str">
        <x:v>REPLACE_WITH_IANA_TIMEZONE</x:v>
      </x:c>
      <x:c r="T8" s="145" t="str">
        <x:v>0</x:v>
      </x:c>
      <x:c r="U8" s="145" t="str">
        <x:v>100</x:v>
      </x:c>
      <x:c r="V8" s="145" t="str">
        <x:v>state</x:v>
      </x:c>
      <x:c r="W8" s="145" t="str">
        <x:v>critical</x:v>
      </x:c>
      <x:c r="X8" s="145" t="str">
        <x:v>RG-YARD-VEHICLE</x:v>
      </x:c>
      <x:c r="Y8" s="145" t="str">
        <x:v>REPLACE_WITH_OWNER</x:v>
      </x:c>
      <x:c r="Z8" s="145" t="str">
        <x:v>not_started</x:v>
      </x:c>
      <x:c r="AA8" s="145" t="str">
        <x:v>REPLACE_WITH_64_HEX_SHA256</x:v>
      </x:c>
      <x:c r="AB8" s="145" t="str">
        <x:v>场内车辆电池状态</x:v>
      </x:c>
    </x:row>
    <x:row r="9" ht="25" customHeight="1">
      <x:c r="A9" s="145" t="str">
        <x:v>PNT-004</x:v>
      </x:c>
      <x:c r="B9" s="145" t="str">
        <x:v>REPLACE_WITH_CHARGER</x:v>
      </x:c>
      <x:c r="C9" s="145" t="str">
        <x:v>yard_vehicle_charger</x:v>
      </x:c>
      <x:c r="D9" s="145" t="str">
        <x:v>REPLACE_WITH_FEEDER</x:v>
      </x:c>
      <x:c r="E9" s="145" t="str">
        <x:v>REPLACE_WITH_CHARGER_METER</x:v>
      </x:c>
      <x:c r="F9" s="145" t="str">
        <x:v>active_power</x:v>
      </x:c>
      <x:c r="G9" s="145" t="str">
        <x:v>REPLACE_WITH_TAG</x:v>
      </x:c>
      <x:c r="H9" s="145" t="str">
        <x:v>instantaneous</x:v>
      </x:c>
      <x:c r="I9" s="145" t="str">
        <x:v>kW</x:v>
      </x:c>
      <x:c r="J9" s="145" t="str">
        <x:v>1</x:v>
      </x:c>
      <x:c r="K9" s="145" t="str">
        <x:v>average</x:v>
      </x:c>
      <x:c r="L9" s="145" t="str">
        <x:v>1</x:v>
      </x:c>
      <x:c r="M9" s="145" t="str">
        <x:v>REPLACE_WITH_CHARGING_SYSTEM</x:v>
      </x:c>
      <x:c r="N9" s="145" t="str">
        <x:v>REPLACE_WITH_SOURCE_KEY</x:v>
      </x:c>
      <x:c r="O9" s="145" t="str">
        <x:v>REPLACE_WITH_CAL_CERT</x:v>
      </x:c>
      <x:c r="P9" s="145" t="str">
        <x:v>REPLACE_WITH_TIMEZONE_AWARE_ISO8601</x:v>
      </x:c>
      <x:c r="Q9" s="145" t="str">
        <x:v>REPLACE_WITH_QUALITY</x:v>
      </x:c>
      <x:c r="R9" s="145" t="str">
        <x:v>REPLACE_WITH_TIMESTAMP</x:v>
      </x:c>
      <x:c r="S9" s="145" t="str">
        <x:v>REPLACE_WITH_IANA_TIMEZONE</x:v>
      </x:c>
      <x:c r="T9" s="145" t="str">
        <x:v>0</x:v>
      </x:c>
      <x:c r="U9" s="145" t="str">
        <x:v>500</x:v>
      </x:c>
      <x:c r="V9" s="145" t="str">
        <x:v>import</x:v>
      </x:c>
      <x:c r="W9" s="145" t="str">
        <x:v>critical</x:v>
      </x:c>
      <x:c r="X9" s="145" t="str">
        <x:v>RG-YARD-VEHICLE</x:v>
      </x:c>
      <x:c r="Y9" s="145" t="str">
        <x:v>REPLACE_WITH_OWNER</x:v>
      </x:c>
      <x:c r="Z9" s="145" t="str">
        <x:v>not_started</x:v>
      </x:c>
      <x:c r="AA9" s="145" t="str">
        <x:v>REPLACE_WITH_64_HEX_SHA256</x:v>
      </x:c>
      <x:c r="AB9" s="145" t="str">
        <x:v>充电排队和功率约束</x:v>
      </x:c>
    </x:row>
    <x:row r="10" ht="25" customHeight="1">
      <x:c r="A10" s="145" t="str">
        <x:v>PNT-005</x:v>
      </x:c>
      <x:c r="B10" s="145" t="str">
        <x:v>REPLACE_WITH_REEFER_BANK</x:v>
      </x:c>
      <x:c r="C10" s="145" t="str">
        <x:v>reefer_bank</x:v>
      </x:c>
      <x:c r="D10" s="145" t="str">
        <x:v>REPLACE_WITH_FEEDER</x:v>
      </x:c>
      <x:c r="E10" s="145" t="str">
        <x:v>REPLACE_WITH_METER</x:v>
      </x:c>
      <x:c r="F10" s="145" t="str">
        <x:v>interval_energy</x:v>
      </x:c>
      <x:c r="G10" s="145" t="str">
        <x:v>REPLACE_WITH_TAG</x:v>
      </x:c>
      <x:c r="H10" s="145" t="str">
        <x:v>interval</x:v>
      </x:c>
      <x:c r="I10" s="145" t="str">
        <x:v>kWh</x:v>
      </x:c>
      <x:c r="J10" s="145" t="str">
        <x:v>1</x:v>
      </x:c>
      <x:c r="K10" s="145" t="str">
        <x:v>sum</x:v>
      </x:c>
      <x:c r="L10" s="145" t="str">
        <x:v>60</x:v>
      </x:c>
      <x:c r="M10" s="145" t="str">
        <x:v>REPLACE_WITH_REEFER_SYSTEM</x:v>
      </x:c>
      <x:c r="N10" s="145" t="str">
        <x:v>REPLACE_WITH_SOURCE_KEY</x:v>
      </x:c>
      <x:c r="O10" s="145" t="str">
        <x:v>REPLACE_WITH_CAL_CERT</x:v>
      </x:c>
      <x:c r="P10" s="145" t="str">
        <x:v>REPLACE_WITH_TIMEZONE_AWARE_ISO8601</x:v>
      </x:c>
      <x:c r="Q10" s="145" t="str">
        <x:v>REPLACE_WITH_QUALITY</x:v>
      </x:c>
      <x:c r="R10" s="145" t="str">
        <x:v>REPLACE_WITH_TIMESTAMP</x:v>
      </x:c>
      <x:c r="S10" s="145" t="str">
        <x:v>REPLACE_WITH_IANA_TIMEZONE</x:v>
      </x:c>
      <x:c r="T10" s="145" t="str">
        <x:v>0</x:v>
      </x:c>
      <x:c r="U10" s="145" t="str">
        <x:v>10000</x:v>
      </x:c>
      <x:c r="V10" s="145" t="str">
        <x:v>import</x:v>
      </x:c>
      <x:c r="W10" s="145" t="str">
        <x:v>critical</x:v>
      </x:c>
      <x:c r="X10" s="145" t="str">
        <x:v>RG-REEFER</x:v>
      </x:c>
      <x:c r="Y10" s="145" t="str">
        <x:v>REPLACE_WITH_OWNER</x:v>
      </x:c>
      <x:c r="Z10" s="145" t="str">
        <x:v>not_started</x:v>
      </x:c>
      <x:c r="AA10" s="145" t="str">
        <x:v>REPLACE_WITH_64_HEX_SHA256</x:v>
      </x:c>
      <x:c r="AB10" s="145" t="str">
        <x:v>冷藏箱分区计量</x:v>
      </x:c>
    </x:row>
    <x:row r="11" ht="25" customHeight="1">
      <x:c r="A11" s="145" t="str">
        <x:v>PNT-006</x:v>
      </x:c>
      <x:c r="B11" s="145" t="str">
        <x:v>REPLACE_WITH_SHORE_POWER_BERTH</x:v>
      </x:c>
      <x:c r="C11" s="145" t="str">
        <x:v>shore_power</x:v>
      </x:c>
      <x:c r="D11" s="145" t="str">
        <x:v>REPLACE_WITH_FEEDER</x:v>
      </x:c>
      <x:c r="E11" s="145" t="str">
        <x:v>REPLACE_WITH_REVENUE_METER</x:v>
      </x:c>
      <x:c r="F11" s="145" t="str">
        <x:v>interval_energy</x:v>
      </x:c>
      <x:c r="G11" s="145" t="str">
        <x:v>REPLACE_WITH_TAG</x:v>
      </x:c>
      <x:c r="H11" s="145" t="str">
        <x:v>interval</x:v>
      </x:c>
      <x:c r="I11" s="145" t="str">
        <x:v>kWh</x:v>
      </x:c>
      <x:c r="J11" s="145" t="str">
        <x:v>1</x:v>
      </x:c>
      <x:c r="K11" s="145" t="str">
        <x:v>sum</x:v>
      </x:c>
      <x:c r="L11" s="145" t="str">
        <x:v>15</x:v>
      </x:c>
      <x:c r="M11" s="145" t="str">
        <x:v>REPLACE_WITH_SHORE_POWER_SYSTEM</x:v>
      </x:c>
      <x:c r="N11" s="145" t="str">
        <x:v>REPLACE_WITH_SOURCE_KEY</x:v>
      </x:c>
      <x:c r="O11" s="145" t="str">
        <x:v>REPLACE_WITH_CAL_CERT</x:v>
      </x:c>
      <x:c r="P11" s="145" t="str">
        <x:v>REPLACE_WITH_TIMEZONE_AWARE_ISO8601</x:v>
      </x:c>
      <x:c r="Q11" s="145" t="str">
        <x:v>REPLACE_WITH_QUALITY</x:v>
      </x:c>
      <x:c r="R11" s="145" t="str">
        <x:v>REPLACE_WITH_TIMESTAMP</x:v>
      </x:c>
      <x:c r="S11" s="145" t="str">
        <x:v>REPLACE_WITH_IANA_TIMEZONE</x:v>
      </x:c>
      <x:c r="T11" s="145" t="str">
        <x:v>0</x:v>
      </x:c>
      <x:c r="U11" s="145" t="str">
        <x:v>100000</x:v>
      </x:c>
      <x:c r="V11" s="145" t="str">
        <x:v>export_to_vessel</x:v>
      </x:c>
      <x:c r="W11" s="145" t="str">
        <x:v>critical</x:v>
      </x:c>
      <x:c r="X11" s="145" t="str">
        <x:v>RG-SHORE-POWER</x:v>
      </x:c>
      <x:c r="Y11" s="145" t="str">
        <x:v>REPLACE_WITH_OWNER</x:v>
      </x:c>
      <x:c r="Z11" s="145" t="str">
        <x:v>not_started</x:v>
      </x:c>
      <x:c r="AA11" s="145" t="str">
        <x:v>REPLACE_WITH_64_HEX_SHA256</x:v>
      </x:c>
      <x:c r="AB11" s="145" t="str">
        <x:v>岸电预约计费与船侧回执</x:v>
      </x:c>
    </x:row>
    <x:row r="12" ht="25" customHeight="1">
      <x:c r="A12" s="145" t="str">
        <x:v>PNT-007</x:v>
      </x:c>
      <x:c r="B12" s="145" t="str">
        <x:v>REPLACE_WITH_STORAGE</x:v>
      </x:c>
      <x:c r="C12" s="145" t="str">
        <x:v>battery_storage</x:v>
      </x:c>
      <x:c r="D12" s="145" t="str">
        <x:v>REPLACE_WITH_FEEDER</x:v>
      </x:c>
      <x:c r="E12" s="145" t="str">
        <x:v>REPLACE_WITH_STORAGE_METER</x:v>
      </x:c>
      <x:c r="F12" s="145" t="str">
        <x:v>active_power</x:v>
      </x:c>
      <x:c r="G12" s="145" t="str">
        <x:v>REPLACE_WITH_TAG</x:v>
      </x:c>
      <x:c r="H12" s="145" t="str">
        <x:v>instantaneous</x:v>
      </x:c>
      <x:c r="I12" s="145" t="str">
        <x:v>kW</x:v>
      </x:c>
      <x:c r="J12" s="145" t="str">
        <x:v>1</x:v>
      </x:c>
      <x:c r="K12" s="145" t="str">
        <x:v>average</x:v>
      </x:c>
      <x:c r="L12" s="145" t="str">
        <x:v>1</x:v>
      </x:c>
      <x:c r="M12" s="145" t="str">
        <x:v>REPLACE_WITH_STORAGE_EMS</x:v>
      </x:c>
      <x:c r="N12" s="145" t="str">
        <x:v>REPLACE_WITH_SOURCE_KEY</x:v>
      </x:c>
      <x:c r="O12" s="145" t="str">
        <x:v>REPLACE_WITH_CAL_CERT</x:v>
      </x:c>
      <x:c r="P12" s="145" t="str">
        <x:v>REPLACE_WITH_TIMEZONE_AWARE_ISO8601</x:v>
      </x:c>
      <x:c r="Q12" s="145" t="str">
        <x:v>REPLACE_WITH_QUALITY</x:v>
      </x:c>
      <x:c r="R12" s="145" t="str">
        <x:v>REPLACE_WITH_TIMESTAMP</x:v>
      </x:c>
      <x:c r="S12" s="145" t="str">
        <x:v>REPLACE_WITH_IANA_TIMEZONE</x:v>
      </x:c>
      <x:c r="T12" s="145" t="str">
        <x:v>-10000</x:v>
      </x:c>
      <x:c r="U12" s="145" t="str">
        <x:v>10000</x:v>
      </x:c>
      <x:c r="V12" s="145" t="str">
        <x:v>bidirectional</x:v>
      </x:c>
      <x:c r="W12" s="145" t="str">
        <x:v>critical</x:v>
      </x:c>
      <x:c r="X12" s="145" t="str">
        <x:v>RG-STORAGE</x:v>
      </x:c>
      <x:c r="Y12" s="145" t="str">
        <x:v>REPLACE_WITH_OWNER</x:v>
      </x:c>
      <x:c r="Z12" s="145" t="str">
        <x:v>not_started</x:v>
      </x:c>
      <x:c r="AA12" s="145" t="str">
        <x:v>REPLACE_WITH_64_HEX_SHA256</x:v>
      </x:c>
      <x:c r="AB12" s="145" t="str">
        <x:v>正值放电负值充电方向需现场确认</x:v>
      </x:c>
    </x:row>
    <x:row r="13" ht="25" customHeight="1">
      <x:c r="A13" s="145" t="str">
        <x:v>PNT-008</x:v>
      </x:c>
      <x:c r="B13" s="145" t="str">
        <x:v>REPLACE_WITH_BUILDING</x:v>
      </x:c>
      <x:c r="C13" s="145" t="str">
        <x:v>building</x:v>
      </x:c>
      <x:c r="D13" s="145" t="str">
        <x:v>REPLACE_WITH_FEEDER</x:v>
      </x:c>
      <x:c r="E13" s="145" t="str">
        <x:v>REPLACE_WITH_METER</x:v>
      </x:c>
      <x:c r="F13" s="145" t="str">
        <x:v>interval_energy</x:v>
      </x:c>
      <x:c r="G13" s="145" t="str">
        <x:v>REPLACE_WITH_TAG</x:v>
      </x:c>
      <x:c r="H13" s="145" t="str">
        <x:v>interval</x:v>
      </x:c>
      <x:c r="I13" s="145" t="str">
        <x:v>kWh</x:v>
      </x:c>
      <x:c r="J13" s="145" t="str">
        <x:v>1</x:v>
      </x:c>
      <x:c r="K13" s="145" t="str">
        <x:v>sum</x:v>
      </x:c>
      <x:c r="L13" s="145" t="str">
        <x:v>60</x:v>
      </x:c>
      <x:c r="M13" s="145" t="str">
        <x:v>REPLACE_WITH_BMS</x:v>
      </x:c>
      <x:c r="N13" s="145" t="str">
        <x:v>REPLACE_WITH_SOURCE_KEY</x:v>
      </x:c>
      <x:c r="O13" s="145" t="str">
        <x:v>REPLACE_WITH_CAL_CERT</x:v>
      </x:c>
      <x:c r="P13" s="145" t="str">
        <x:v>REPLACE_WITH_TIMEZONE_AWARE_ISO8601</x:v>
      </x:c>
      <x:c r="Q13" s="145" t="str">
        <x:v>REPLACE_WITH_QUALITY</x:v>
      </x:c>
      <x:c r="R13" s="145" t="str">
        <x:v>REPLACE_WITH_TIMESTAMP</x:v>
      </x:c>
      <x:c r="S13" s="145" t="str">
        <x:v>REPLACE_WITH_IANA_TIMEZONE</x:v>
      </x:c>
      <x:c r="T13" s="145" t="str">
        <x:v>0</x:v>
      </x:c>
      <x:c r="U13" s="145" t="str">
        <x:v>50000</x:v>
      </x:c>
      <x:c r="V13" s="145" t="str">
        <x:v>import</x:v>
      </x:c>
      <x:c r="W13" s="145" t="str">
        <x:v>important</x:v>
      </x:c>
      <x:c r="X13" s="145" t="str">
        <x:v>RG-BUILDING</x:v>
      </x:c>
      <x:c r="Y13" s="145" t="str">
        <x:v>REPLACE_WITH_OWNER</x:v>
      </x:c>
      <x:c r="Z13" s="145" t="str">
        <x:v>not_started</x:v>
      </x:c>
      <x:c r="AA13" s="145" t="str">
        <x:v>REPLACE_WITH_64_HEX_SHA256</x:v>
      </x:c>
      <x:c r="AB13" s="145" t="str">
        <x:v>建筑分路</x:v>
      </x:c>
    </x:row>
    <x:row r="14" ht="25" customHeight="1">
      <x:c r="A14" s="145" t="str">
        <x:v>PNT-009</x:v>
      </x:c>
      <x:c r="B14" s="145" t="str">
        <x:v>REPLACE_WITH_GRID_CONNECTION</x:v>
      </x:c>
      <x:c r="C14" s="145" t="str">
        <x:v>grid_import</x:v>
      </x:c>
      <x:c r="D14" s="145" t="str">
        <x:v>REPLACE_WITH_MAIN_FEEDER</x:v>
      </x:c>
      <x:c r="E14" s="145" t="str">
        <x:v>REPLACE_WITH_REVENUE_METER</x:v>
      </x:c>
      <x:c r="F14" s="145" t="str">
        <x:v>interval_energy</x:v>
      </x:c>
      <x:c r="G14" s="145" t="str">
        <x:v>REPLACE_WITH_TAG</x:v>
      </x:c>
      <x:c r="H14" s="145" t="str">
        <x:v>interval</x:v>
      </x:c>
      <x:c r="I14" s="145" t="str">
        <x:v>kWh</x:v>
      </x:c>
      <x:c r="J14" s="145" t="str">
        <x:v>1</x:v>
      </x:c>
      <x:c r="K14" s="145" t="str">
        <x:v>sum</x:v>
      </x:c>
      <x:c r="L14" s="145" t="str">
        <x:v>15</x:v>
      </x:c>
      <x:c r="M14" s="145" t="str">
        <x:v>REPLACE_WITH_REVENUE_METER_SYSTEM</x:v>
      </x:c>
      <x:c r="N14" s="145" t="str">
        <x:v>REPLACE_WITH_SOURCE_KEY</x:v>
      </x:c>
      <x:c r="O14" s="145" t="str">
        <x:v>REPLACE_WITH_CAL_CERT</x:v>
      </x:c>
      <x:c r="P14" s="145" t="str">
        <x:v>REPLACE_WITH_TIMEZONE_AWARE_ISO8601</x:v>
      </x:c>
      <x:c r="Q14" s="145" t="str">
        <x:v>REPLACE_WITH_QUALITY</x:v>
      </x:c>
      <x:c r="R14" s="145" t="str">
        <x:v>REPLACE_WITH_TIMESTAMP</x:v>
      </x:c>
      <x:c r="S14" s="145" t="str">
        <x:v>REPLACE_WITH_IANA_TIMEZONE</x:v>
      </x:c>
      <x:c r="T14" s="145" t="str">
        <x:v>0</x:v>
      </x:c>
      <x:c r="U14" s="145" t="str">
        <x:v>1000000</x:v>
      </x:c>
      <x:c r="V14" s="145" t="str">
        <x:v>import</x:v>
      </x:c>
      <x:c r="W14" s="145" t="str">
        <x:v>critical</x:v>
      </x:c>
      <x:c r="X14" s="145" t="str">
        <x:v>RG-GRID-BALANCE</x:v>
      </x:c>
      <x:c r="Y14" s="145" t="str">
        <x:v>REPLACE_WITH_OWNER</x:v>
      </x:c>
      <x:c r="Z14" s="145" t="str">
        <x:v>not_started</x:v>
      </x:c>
      <x:c r="AA14" s="145" t="str">
        <x:v>REPLACE_WITH_64_HEX_SHA256</x:v>
      </x:c>
      <x:c r="AB14" s="145" t="str">
        <x:v>总进线收入电表</x:v>
      </x:c>
    </x:row>
    <x:row r="15" ht="25" customHeight="1">
      <x:c r="A15" s="145" t="str">
        <x:v>PNT-010</x:v>
      </x:c>
      <x:c r="B15" s="145" t="str">
        <x:v>REPLACE_WITH_RENEWABLE_ARRAY</x:v>
      </x:c>
      <x:c r="C15" s="145" t="str">
        <x:v>renewable_generation</x:v>
      </x:c>
      <x:c r="D15" s="145" t="str">
        <x:v>REPLACE_WITH_FEEDER</x:v>
      </x:c>
      <x:c r="E15" s="145" t="str">
        <x:v>REPLACE_WITH_METER</x:v>
      </x:c>
      <x:c r="F15" s="145" t="str">
        <x:v>interval_energy</x:v>
      </x:c>
      <x:c r="G15" s="145" t="str">
        <x:v>REPLACE_WITH_TAG</x:v>
      </x:c>
      <x:c r="H15" s="145" t="str">
        <x:v>interval</x:v>
      </x:c>
      <x:c r="I15" s="145" t="str">
        <x:v>kWh</x:v>
      </x:c>
      <x:c r="J15" s="145" t="str">
        <x:v>1</x:v>
      </x:c>
      <x:c r="K15" s="145" t="str">
        <x:v>sum</x:v>
      </x:c>
      <x:c r="L15" s="145" t="str">
        <x:v>60</x:v>
      </x:c>
      <x:c r="M15" s="145" t="str">
        <x:v>REPLACE_WITH_RENEWABLE_SCADA</x:v>
      </x:c>
      <x:c r="N15" s="145" t="str">
        <x:v>REPLACE_WITH_SOURCE_KEY</x:v>
      </x:c>
      <x:c r="O15" s="145" t="str">
        <x:v>REPLACE_WITH_CAL_CERT</x:v>
      </x:c>
      <x:c r="P15" s="145" t="str">
        <x:v>REPLACE_WITH_TIMEZONE_AWARE_ISO8601</x:v>
      </x:c>
      <x:c r="Q15" s="145" t="str">
        <x:v>REPLACE_WITH_QUALITY</x:v>
      </x:c>
      <x:c r="R15" s="145" t="str">
        <x:v>REPLACE_WITH_TIMESTAMP</x:v>
      </x:c>
      <x:c r="S15" s="145" t="str">
        <x:v>REPLACE_WITH_IANA_TIMEZONE</x:v>
      </x:c>
      <x:c r="T15" s="145" t="str">
        <x:v>0</x:v>
      </x:c>
      <x:c r="U15" s="145" t="str">
        <x:v>100000</x:v>
      </x:c>
      <x:c r="V15" s="145" t="str">
        <x:v>generation</x:v>
      </x:c>
      <x:c r="W15" s="145" t="str">
        <x:v>important</x:v>
      </x:c>
      <x:c r="X15" s="145" t="str">
        <x:v>RG-GRID-BALANCE</x:v>
      </x:c>
      <x:c r="Y15" s="145" t="str">
        <x:v>REPLACE_WITH_OWNER</x:v>
      </x:c>
      <x:c r="Z15" s="145" t="str">
        <x:v>not_started</x:v>
      </x:c>
      <x:c r="AA15" s="145" t="str">
        <x:v>REPLACE_WITH_64_HEX_SHA256</x:v>
      </x:c>
      <x:c r="AB15" s="145" t="str">
        <x:v>光伏风电等本地可再生能源</x:v>
      </x:c>
    </x:row>
    <x:row r="16" ht="25" customHeight="1">
      <x:c r="A16" s="145" t="str">
        <x:v>PNT-011</x:v>
      </x:c>
      <x:c r="B16" s="145" t="str">
        <x:v>REPLACE_WITH_TRANSFORMER</x:v>
      </x:c>
      <x:c r="C16" s="145" t="str">
        <x:v>transformer</x:v>
      </x:c>
      <x:c r="D16" s="145" t="str">
        <x:v>REPLACE_WITH_FEEDER</x:v>
      </x:c>
      <x:c r="E16" s="145" t="str">
        <x:v>REPLACE_WITH_METER</x:v>
      </x:c>
      <x:c r="F16" s="145" t="str">
        <x:v>winding_temperature</x:v>
      </x:c>
      <x:c r="G16" s="145" t="str">
        <x:v>REPLACE_WITH_TAG</x:v>
      </x:c>
      <x:c r="H16" s="145" t="str">
        <x:v>instantaneous</x:v>
      </x:c>
      <x:c r="I16" s="145" t="str">
        <x:v>degC</x:v>
      </x:c>
      <x:c r="J16" s="145" t="str">
        <x:v>1</x:v>
      </x:c>
      <x:c r="K16" s="145" t="str">
        <x:v>max</x:v>
      </x:c>
      <x:c r="L16" s="145" t="str">
        <x:v>10</x:v>
      </x:c>
      <x:c r="M16" s="145" t="str">
        <x:v>REPLACE_WITH_SCADA</x:v>
      </x:c>
      <x:c r="N16" s="145" t="str">
        <x:v>REPLACE_WITH_SOURCE_KEY</x:v>
      </x:c>
      <x:c r="O16" s="145" t="str">
        <x:v>REPLACE_WITH_CAL_CERT</x:v>
      </x:c>
      <x:c r="P16" s="145" t="str">
        <x:v>REPLACE_WITH_TIMEZONE_AWARE_ISO8601</x:v>
      </x:c>
      <x:c r="Q16" s="145" t="str">
        <x:v>REPLACE_WITH_QUALITY</x:v>
      </x:c>
      <x:c r="R16" s="145" t="str">
        <x:v>REPLACE_WITH_TIMESTAMP</x:v>
      </x:c>
      <x:c r="S16" s="145" t="str">
        <x:v>REPLACE_WITH_IANA_TIMEZONE</x:v>
      </x:c>
      <x:c r="T16" s="145" t="str">
        <x:v>-20</x:v>
      </x:c>
      <x:c r="U16" s="145" t="str">
        <x:v>180</x:v>
      </x:c>
      <x:c r="V16" s="145" t="str">
        <x:v>state</x:v>
      </x:c>
      <x:c r="W16" s="145" t="str">
        <x:v>critical</x:v>
      </x:c>
      <x:c r="X16" s="145" t="str">
        <x:v>RG-TRANSFORMER</x:v>
      </x:c>
      <x:c r="Y16" s="145" t="str">
        <x:v>REPLACE_WITH_OWNER</x:v>
      </x:c>
      <x:c r="Z16" s="145" t="str">
        <x:v>not_started</x:v>
      </x:c>
      <x:c r="AA16" s="145" t="str">
        <x:v>REPLACE_WITH_64_HEX_SHA256</x:v>
      </x:c>
      <x:c r="AB16" s="145" t="str">
        <x:v>变压器热老化输入</x:v>
      </x:c>
    </x:row>
    <x:row r="17" ht="25" customHeight="1">
      <x:c r="A17" s="145" t="str">
        <x:v>PNT-012</x:v>
      </x:c>
      <x:c r="B17" s="145" t="str">
        <x:v>REPLACE_WITH_FEEDER</x:v>
      </x:c>
      <x:c r="C17" s="145" t="str">
        <x:v>distribution_feeder</x:v>
      </x:c>
      <x:c r="D17" s="145" t="str">
        <x:v>REPLACE_WITH_FEEDER</x:v>
      </x:c>
      <x:c r="E17" s="145" t="str">
        <x:v>REPLACE_WITH_METER</x:v>
      </x:c>
      <x:c r="F17" s="145" t="str">
        <x:v>voltage_thd</x:v>
      </x:c>
      <x:c r="G17" s="145" t="str">
        <x:v>REPLACE_WITH_TAG</x:v>
      </x:c>
      <x:c r="H17" s="145" t="str">
        <x:v>instantaneous</x:v>
      </x:c>
      <x:c r="I17" s="145" t="str">
        <x:v>percent</x:v>
      </x:c>
      <x:c r="J17" s="145" t="str">
        <x:v>1</x:v>
      </x:c>
      <x:c r="K17" s="145" t="str">
        <x:v>max</x:v>
      </x:c>
      <x:c r="L17" s="145" t="str">
        <x:v>1</x:v>
      </x:c>
      <x:c r="M17" s="145" t="str">
        <x:v>REPLACE_WITH_PQ_METER</x:v>
      </x:c>
      <x:c r="N17" s="145" t="str">
        <x:v>REPLACE_WITH_SOURCE_KEY</x:v>
      </x:c>
      <x:c r="O17" s="145" t="str">
        <x:v>REPLACE_WITH_CAL_CERT</x:v>
      </x:c>
      <x:c r="P17" s="145" t="str">
        <x:v>REPLACE_WITH_TIMEZONE_AWARE_ISO8601</x:v>
      </x:c>
      <x:c r="Q17" s="145" t="str">
        <x:v>REPLACE_WITH_QUALITY</x:v>
      </x:c>
      <x:c r="R17" s="145" t="str">
        <x:v>REPLACE_WITH_TIMESTAMP</x:v>
      </x:c>
      <x:c r="S17" s="145" t="str">
        <x:v>REPLACE_WITH_IANA_TIMEZONE</x:v>
      </x:c>
      <x:c r="T17" s="145" t="str">
        <x:v>0</x:v>
      </x:c>
      <x:c r="U17" s="145" t="str">
        <x:v>100</x:v>
      </x:c>
      <x:c r="V17" s="145" t="str">
        <x:v>state</x:v>
      </x:c>
      <x:c r="W17" s="145" t="str">
        <x:v>critical</x:v>
      </x:c>
      <x:c r="X17" s="145" t="str">
        <x:v>RG-POWER-QUALITY</x:v>
      </x:c>
      <x:c r="Y17" s="145" t="str">
        <x:v>REPLACE_WITH_OWNER</x:v>
      </x:c>
      <x:c r="Z17" s="145" t="str">
        <x:v>not_started</x:v>
      </x:c>
      <x:c r="AA17" s="145" t="str">
        <x:v>REPLACE_WITH_64_HEX_SHA256</x:v>
      </x:c>
      <x:c r="AB17" s="145" t="str">
        <x:v>电压谐波和电能质量</x:v>
      </x:c>
    </x:row>
    <x:row r="18" ht="25" customHeight="1">
      <x:c r="A18" s="145" t="str">
        <x:v>PNT-013</x:v>
      </x:c>
      <x:c r="B18" s="145" t="str">
        <x:v>REPLACE_WITH_GRID_BUS</x:v>
      </x:c>
      <x:c r="C18" s="145" t="str">
        <x:v>distribution_bus</x:v>
      </x:c>
      <x:c r="D18" s="145" t="str">
        <x:v>REPLACE_WITH_FEEDER</x:v>
      </x:c>
      <x:c r="E18" s="145" t="str">
        <x:v>REPLACE_WITH_METER</x:v>
      </x:c>
      <x:c r="F18" s="145" t="str">
        <x:v>reactive_power</x:v>
      </x:c>
      <x:c r="G18" s="145" t="str">
        <x:v>REPLACE_WITH_TAG</x:v>
      </x:c>
      <x:c r="H18" s="145" t="str">
        <x:v>instantaneous</x:v>
      </x:c>
      <x:c r="I18" s="145" t="str">
        <x:v>kvar</x:v>
      </x:c>
      <x:c r="J18" s="145" t="str">
        <x:v>1</x:v>
      </x:c>
      <x:c r="K18" s="145" t="str">
        <x:v>average</x:v>
      </x:c>
      <x:c r="L18" s="145" t="str">
        <x:v>1</x:v>
      </x:c>
      <x:c r="M18" s="145" t="str">
        <x:v>REPLACE_WITH_SCADA</x:v>
      </x:c>
      <x:c r="N18" s="145" t="str">
        <x:v>REPLACE_WITH_SOURCE_KEY</x:v>
      </x:c>
      <x:c r="O18" s="145" t="str">
        <x:v>REPLACE_WITH_CAL_CERT</x:v>
      </x:c>
      <x:c r="P18" s="145" t="str">
        <x:v>REPLACE_WITH_TIMEZONE_AWARE_ISO8601</x:v>
      </x:c>
      <x:c r="Q18" s="145" t="str">
        <x:v>REPLACE_WITH_QUALITY</x:v>
      </x:c>
      <x:c r="R18" s="145" t="str">
        <x:v>REPLACE_WITH_TIMESTAMP</x:v>
      </x:c>
      <x:c r="S18" s="145" t="str">
        <x:v>REPLACE_WITH_IANA_TIMEZONE</x:v>
      </x:c>
      <x:c r="T18" s="145" t="str">
        <x:v>-50000</x:v>
      </x:c>
      <x:c r="U18" s="145" t="str">
        <x:v>50000</x:v>
      </x:c>
      <x:c r="V18" s="145" t="str">
        <x:v>bidirectional</x:v>
      </x:c>
      <x:c r="W18" s="145" t="str">
        <x:v>critical</x:v>
      </x:c>
      <x:c r="X18" s="145" t="str">
        <x:v>RG-POWER-FLOW</x:v>
      </x:c>
      <x:c r="Y18" s="145" t="str">
        <x:v>REPLACE_WITH_OWNER</x:v>
      </x:c>
      <x:c r="Z18" s="145" t="str">
        <x:v>not_started</x:v>
      </x:c>
      <x:c r="AA18" s="145" t="str">
        <x:v>REPLACE_WITH_64_HEX_SHA256</x:v>
      </x:c>
      <x:c r="AB18" s="145" t="str">
        <x:v>无功潮流</x:v>
      </x:c>
    </x:row>
    <x:row r="19" ht="25" customHeight="1">
      <x:c r="A19" s="146" t="str">
        <x:v>PNT-014</x:v>
      </x:c>
      <x:c r="B19" s="146" t="str">
        <x:v>REPLACE_WITH_VESSEL_CALL</x:v>
      </x:c>
      <x:c r="C19" s="146" t="str">
        <x:v>vessel_auxiliary_engine</x:v>
      </x:c>
      <x:c r="D19" s="146" t="str">
        <x:v>NA</x:v>
      </x:c>
      <x:c r="E19" s="146" t="str">
        <x:v>REPLACE_WITH_FUEL_METER</x:v>
      </x:c>
      <x:c r="F19" s="146" t="str">
        <x:v>fuel_consumption</x:v>
      </x:c>
      <x:c r="G19" s="146" t="str">
        <x:v>REPLACE_WITH_TAG</x:v>
      </x:c>
      <x:c r="H19" s="146" t="str">
        <x:v>interval</x:v>
      </x:c>
      <x:c r="I19" s="146" t="str">
        <x:v>kg</x:v>
      </x:c>
      <x:c r="J19" s="146" t="str">
        <x:v>1</x:v>
      </x:c>
      <x:c r="K19" s="146" t="str">
        <x:v>sum</x:v>
      </x:c>
      <x:c r="L19" s="146" t="str">
        <x:v>60</x:v>
      </x:c>
      <x:c r="M19" s="146" t="str">
        <x:v>REPLACE_WITH_VESSEL_SOURCE</x:v>
      </x:c>
      <x:c r="N19" s="146" t="str">
        <x:v>REPLACE_WITH_SOURCE_KEY</x:v>
      </x:c>
      <x:c r="O19" s="146" t="str">
        <x:v>REPLACE_WITH_CAL_CERT</x:v>
      </x:c>
      <x:c r="P19" s="146" t="str">
        <x:v>REPLACE_WITH_TIMEZONE_AWARE_ISO8601</x:v>
      </x:c>
      <x:c r="Q19" s="146" t="str">
        <x:v>REPLACE_WITH_QUALITY</x:v>
      </x:c>
      <x:c r="R19" s="146" t="str">
        <x:v>REPLACE_WITH_TIMESTAMP</x:v>
      </x:c>
      <x:c r="S19" s="146" t="str">
        <x:v>REPLACE_WITH_IANA_TIMEZONE</x:v>
      </x:c>
      <x:c r="T19" s="146" t="str">
        <x:v>0</x:v>
      </x:c>
      <x:c r="U19" s="146" t="str">
        <x:v>100000</x:v>
      </x:c>
      <x:c r="V19" s="146" t="str">
        <x:v>consumption</x:v>
      </x:c>
      <x:c r="W19" s="146" t="str">
        <x:v>important</x:v>
      </x:c>
      <x:c r="X19" s="146" t="str">
        <x:v>RG-VESSEL-EMISSIONS</x:v>
      </x:c>
      <x:c r="Y19" s="146" t="str">
        <x:v>REPLACE_WITH_OWNER</x:v>
      </x:c>
      <x:c r="Z19" s="146" t="str">
        <x:v>not_started</x:v>
      </x:c>
      <x:c r="AA19" s="146" t="str">
        <x:v>REPLACE_WITH_64_HEX_SHA256</x:v>
      </x:c>
      <x:c r="AB19" s="146" t="str">
        <x:v>船舶靠港辅助机燃料或核证替代数据</x:v>
      </x:c>
    </x:row>
  </x:sheetData>
  <x:mergeCells>
    <x:mergeCell ref="A1:AB1"/>
    <x:mergeCell ref="A2:AB2"/>
  </x:mergeCells>
  <x:conditionalFormatting sqref="A6:AB19">
    <x:cfRule type="containsText" dxfId="8" priority="1" operator="containsText" text="REPLACE_WITH"/>
  </x:conditionalFormatting>
  <x:conditionalFormatting sqref="Z6:Z19">
    <x:cfRule type="containsText" dxfId="9" priority="2" operator="containsText" text="accepted"/>
    <x:cfRule type="containsText" dxfId="10" priority="3" operator="containsText" text="approved"/>
    <x:cfRule type="containsText" dxfId="11" priority="4" operator="containsText" text="passed"/>
    <x:cfRule type="containsText" dxfId="12" priority="5" operator="containsText" text="not_started"/>
    <x:cfRule type="containsText" dxfId="13" priority="6" operator="containsText" text="blocked"/>
    <x:cfRule type="containsText" dxfId="14" priority="7" operator="containsText" text="rejected"/>
  </x:conditionalFormatting>
  <x:dataValidations count="1">
    <x:dataValidation type="list" sqref="Z6:Z19">
      <x:formula1>"not_started,mapped,calibrating,accepted,rejected"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a2ba31643d4e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5" hidden="0" customWidth="1"/>
    <x:col min="2" max="2" width="15.75" hidden="0" customWidth="1"/>
    <x:col min="3" max="3" width="22" hidden="0" customWidth="1"/>
    <x:col min="4" max="4" width="20.75" hidden="0" customWidth="1"/>
    <x:col min="5" max="5" width="15.75" hidden="0" customWidth="1"/>
    <x:col min="6" max="6" width="22" hidden="0" customWidth="1"/>
    <x:col min="7" max="7" width="37" hidden="0" customWidth="1"/>
    <x:col min="8" max="8" width="24.5" hidden="0" customWidth="1"/>
    <x:col min="9" max="9" width="14.5" hidden="0" customWidth="1"/>
    <x:col min="10" max="10" width="13.25" hidden="0" customWidth="1"/>
    <x:col min="11" max="11" width="17" hidden="0" customWidth="1"/>
    <x:col min="12" max="12" width="14.5" hidden="0" customWidth="1"/>
    <x:col min="13" max="13" width="34.5" hidden="0" customWidth="1"/>
    <x:col min="14" max="14" width="24.5" hidden="0" customWidth="1"/>
    <x:col min="15" max="15" width="17" hidden="0" customWidth="1"/>
    <x:col min="16" max="16" width="23.25" hidden="0" customWidth="1"/>
    <x:col min="17" max="17" width="25" hidden="0" customWidth="1"/>
    <x:col min="18" max="18" width="15.75" hidden="0" customWidth="1"/>
    <x:col min="19" max="19" width="34.5" hidden="0" customWidth="1"/>
    <x:col min="20" max="20" width="25.75" hidden="0" customWidth="1"/>
  </x:cols>
  <x:sheetData>
    <x:row r="1" ht="34" customHeight="1">
      <x:c r="A1" s="3" t="str">
        <x:v>网络分区与受控通道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0" customHeight="1">
      <x:c r="A2" s="7" t="str">
        <x:v>默认拒绝、双向传输层安全、会话记录与独立联锁；禁止信息技术区直连运行技术控制区。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 ht="25" customHeight="1">
      <x:c r="A3" s="147" t="str">
        <x:v>已接受</x:v>
      </x:c>
      <x:c r="B3" s="148" t="n">
        <x:f>COUNTIF(R6:R16,"accepted")</x:f>
        <x:v>0</x:v>
      </x:c>
      <x:c r="C3" s="148" t="str">
        <x:v>总数</x:v>
      </x:c>
      <x:c r="D3" s="148" t="n">
        <x:f>COUNTA(A6:A16)</x:f>
        <x:v>11</x:v>
      </x:c>
      <x:c r="E3" s="148" t="str">
        <x:v>完成率</x:v>
      </x:c>
      <x:c r="F3" s="149" t="n">
        <x:f>IF(D3=0,0,B3/D3)</x:f>
        <x:v>0</x:v>
      </x:c>
      <x:c r="G3" s="148" t="str">
        <x:v>现场状态</x:v>
      </x:c>
      <x:c r="H3" s="150" t="str">
        <x:f>IF(F3=1,"完整","待补齐")</x:f>
        <x:v>待补齐</x:v>
      </x:c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</x:row>
    <x:row r="4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</x:row>
    <x:row r="5" ht="36" customHeight="1">
      <x:c r="A5" s="134" t="str">
        <x:v>record_id</x:v>
      </x:c>
      <x:c r="B5" s="135" t="str">
        <x:v>record_type</x:v>
      </x:c>
      <x:c r="C5" s="135" t="str">
        <x:v>zone_name</x:v>
      </x:c>
      <x:c r="D5" s="135" t="str">
        <x:v>security_level</x:v>
      </x:c>
      <x:c r="E5" s="135" t="str">
        <x:v>source_zone</x:v>
      </x:c>
      <x:c r="F5" s="135" t="str">
        <x:v>destination_zone</x:v>
      </x:c>
      <x:c r="G5" s="135" t="str">
        <x:v>protocol</x:v>
      </x:c>
      <x:c r="H5" s="135" t="str">
        <x:v>ports</x:v>
      </x:c>
      <x:c r="I5" s="135" t="str">
        <x:v>initiator</x:v>
      </x:c>
      <x:c r="J5" s="135" t="str">
        <x:v>read_only</x:v>
      </x:c>
      <x:c r="K5" s="135" t="str">
        <x:v>default_deny</x:v>
      </x:c>
      <x:c r="L5" s="135" t="str">
        <x:v>mutual_tls</x:v>
      </x:c>
      <x:c r="M5" s="135" t="str">
        <x:v>firewall_rule_id</x:v>
      </x:c>
      <x:c r="N5" s="135" t="str">
        <x:v>jump_host_required</x:v>
      </x:c>
      <x:c r="O5" s="135" t="str">
        <x:v>mfa_required</x:v>
      </x:c>
      <x:c r="P5" s="135" t="str">
        <x:v>session_recording</x:v>
      </x:c>
      <x:c r="Q5" s="135" t="str">
        <x:v>owner</x:v>
      </x:c>
      <x:c r="R5" s="135" t="str">
        <x:v>status</x:v>
      </x:c>
      <x:c r="S5" s="135" t="str">
        <x:v>evidence_sha256</x:v>
      </x:c>
      <x:c r="T5" s="136" t="str">
        <x:v>notes</x:v>
      </x:c>
    </x:row>
    <x:row r="6" ht="25" customHeight="1">
      <x:c r="A6" s="144" t="str">
        <x:v>ZONE-001</x:v>
      </x:c>
      <x:c r="B6" s="144" t="str">
        <x:v>zone</x:v>
      </x:c>
      <x:c r="C6" s="144" t="str">
        <x:v>IT_ZONE</x:v>
      </x:c>
      <x:c r="D6" s="144" t="str">
        <x:v>enterprise</x:v>
      </x:c>
      <x:c r="E6" s="144" t="str">
        <x:v>NA</x:v>
      </x:c>
      <x:c r="F6" s="144" t="str">
        <x:v>NA</x:v>
      </x:c>
      <x:c r="G6" s="144" t="str">
        <x:v>NA</x:v>
      </x:c>
      <x:c r="H6" s="144" t="str">
        <x:v>NA</x:v>
      </x:c>
      <x:c r="I6" s="144" t="str">
        <x:v>NA</x:v>
      </x:c>
      <x:c r="J6" s="144" t="str">
        <x:v>true</x:v>
      </x:c>
      <x:c r="K6" s="144" t="str">
        <x:v>true</x:v>
      </x:c>
      <x:c r="L6" s="144" t="str">
        <x:v>true</x:v>
      </x:c>
      <x:c r="M6" s="144" t="str">
        <x:v>NA</x:v>
      </x:c>
      <x:c r="N6" s="144" t="str">
        <x:v>true</x:v>
      </x:c>
      <x:c r="O6" s="144" t="str">
        <x:v>true</x:v>
      </x:c>
      <x:c r="P6" s="144" t="str">
        <x:v>true</x:v>
      </x:c>
      <x:c r="Q6" s="144" t="str">
        <x:v>REPLACE_WITH_CISO_OWNER</x:v>
      </x:c>
      <x:c r="R6" s="144" t="str">
        <x:v>not_started</x:v>
      </x:c>
      <x:c r="S6" s="144" t="str">
        <x:v>REPLACE_WITH_64_HEX_SHA256</x:v>
      </x:c>
      <x:c r="T6" s="144" t="str">
        <x:v>企业身份应用与管理平面</x:v>
      </x:c>
    </x:row>
    <x:row r="7" ht="25" customHeight="1">
      <x:c r="A7" s="145" t="str">
        <x:v>ZONE-002</x:v>
      </x:c>
      <x:c r="B7" s="145" t="str">
        <x:v>zone</x:v>
      </x:c>
      <x:c r="C7" s="145" t="str">
        <x:v>IT_DMZ</x:v>
      </x:c>
      <x:c r="D7" s="145" t="str">
        <x:v>controlled</x:v>
      </x:c>
      <x:c r="E7" s="145" t="str">
        <x:v>NA</x:v>
      </x:c>
      <x:c r="F7" s="145" t="str">
        <x:v>NA</x:v>
      </x:c>
      <x:c r="G7" s="145" t="str">
        <x:v>NA</x:v>
      </x:c>
      <x:c r="H7" s="145" t="str">
        <x:v>NA</x:v>
      </x:c>
      <x:c r="I7" s="145" t="str">
        <x:v>NA</x:v>
      </x:c>
      <x:c r="J7" s="145" t="str">
        <x:v>true</x:v>
      </x:c>
      <x:c r="K7" s="145" t="str">
        <x:v>true</x:v>
      </x:c>
      <x:c r="L7" s="145" t="str">
        <x:v>true</x:v>
      </x:c>
      <x:c r="M7" s="145" t="str">
        <x:v>NA</x:v>
      </x:c>
      <x:c r="N7" s="145" t="str">
        <x:v>true</x:v>
      </x:c>
      <x:c r="O7" s="145" t="str">
        <x:v>true</x:v>
      </x:c>
      <x:c r="P7" s="145" t="str">
        <x:v>true</x:v>
      </x:c>
      <x:c r="Q7" s="145" t="str">
        <x:v>REPLACE_WITH_CISO_OWNER</x:v>
      </x:c>
      <x:c r="R7" s="145" t="str">
        <x:v>not_started</x:v>
      </x:c>
      <x:c r="S7" s="145" t="str">
        <x:v>REPLACE_WITH_64_HEX_SHA256</x:v>
      </x:c>
      <x:c r="T7" s="145" t="str">
        <x:v>面向信息技术系统的数据交换隔离区</x:v>
      </x:c>
    </x:row>
    <x:row r="8" ht="25" customHeight="1">
      <x:c r="A8" s="145" t="str">
        <x:v>ZONE-003</x:v>
      </x:c>
      <x:c r="B8" s="145" t="str">
        <x:v>zone</x:v>
      </x:c>
      <x:c r="C8" s="145" t="str">
        <x:v>OT_DMZ</x:v>
      </x:c>
      <x:c r="D8" s="145" t="str">
        <x:v>restricted</x:v>
      </x:c>
      <x:c r="E8" s="145" t="str">
        <x:v>NA</x:v>
      </x:c>
      <x:c r="F8" s="145" t="str">
        <x:v>NA</x:v>
      </x:c>
      <x:c r="G8" s="145" t="str">
        <x:v>NA</x:v>
      </x:c>
      <x:c r="H8" s="145" t="str">
        <x:v>NA</x:v>
      </x:c>
      <x:c r="I8" s="145" t="str">
        <x:v>NA</x:v>
      </x:c>
      <x:c r="J8" s="145" t="str">
        <x:v>true</x:v>
      </x:c>
      <x:c r="K8" s="145" t="str">
        <x:v>true</x:v>
      </x:c>
      <x:c r="L8" s="145" t="str">
        <x:v>true</x:v>
      </x:c>
      <x:c r="M8" s="145" t="str">
        <x:v>NA</x:v>
      </x:c>
      <x:c r="N8" s="145" t="str">
        <x:v>true</x:v>
      </x:c>
      <x:c r="O8" s="145" t="str">
        <x:v>true</x:v>
      </x:c>
      <x:c r="P8" s="145" t="str">
        <x:v>true</x:v>
      </x:c>
      <x:c r="Q8" s="145" t="str">
        <x:v>REPLACE_WITH_OT_SECURITY_OWNER</x:v>
      </x:c>
      <x:c r="R8" s="145" t="str">
        <x:v>not_started</x:v>
      </x:c>
      <x:c r="S8" s="145" t="str">
        <x:v>REPLACE_WITH_64_HEX_SHA256</x:v>
      </x:c>
      <x:c r="T8" s="145" t="str">
        <x:v>信息技术与运行技术之间的双防火墙隔离区</x:v>
      </x:c>
    </x:row>
    <x:row r="9" ht="25" customHeight="1">
      <x:c r="A9" s="145" t="str">
        <x:v>ZONE-004</x:v>
      </x:c>
      <x:c r="B9" s="145" t="str">
        <x:v>zone</x:v>
      </x:c>
      <x:c r="C9" s="145" t="str">
        <x:v>OT_CONTROL</x:v>
      </x:c>
      <x:c r="D9" s="145" t="str">
        <x:v>critical</x:v>
      </x:c>
      <x:c r="E9" s="145" t="str">
        <x:v>NA</x:v>
      </x:c>
      <x:c r="F9" s="145" t="str">
        <x:v>NA</x:v>
      </x:c>
      <x:c r="G9" s="145" t="str">
        <x:v>NA</x:v>
      </x:c>
      <x:c r="H9" s="145" t="str">
        <x:v>NA</x:v>
      </x:c>
      <x:c r="I9" s="145" t="str">
        <x:v>NA</x:v>
      </x:c>
      <x:c r="J9" s="145" t="str">
        <x:v>true</x:v>
      </x:c>
      <x:c r="K9" s="145" t="str">
        <x:v>true</x:v>
      </x:c>
      <x:c r="L9" s="145" t="str">
        <x:v>true</x:v>
      </x:c>
      <x:c r="M9" s="145" t="str">
        <x:v>NA</x:v>
      </x:c>
      <x:c r="N9" s="145" t="str">
        <x:v>true</x:v>
      </x:c>
      <x:c r="O9" s="145" t="str">
        <x:v>true</x:v>
      </x:c>
      <x:c r="P9" s="145" t="str">
        <x:v>true</x:v>
      </x:c>
      <x:c r="Q9" s="145" t="str">
        <x:v>REPLACE_WITH_CONTROL_OWNER</x:v>
      </x:c>
      <x:c r="R9" s="145" t="str">
        <x:v>not_started</x:v>
      </x:c>
      <x:c r="S9" s="145" t="str">
        <x:v>REPLACE_WITH_64_HEX_SHA256</x:v>
      </x:c>
      <x:c r="T9" s="145" t="str">
        <x:v>设备控制网且应用无直连权限</x:v>
      </x:c>
    </x:row>
    <x:row r="10" ht="25" customHeight="1">
      <x:c r="A10" s="145" t="str">
        <x:v>ZONE-005</x:v>
      </x:c>
      <x:c r="B10" s="145" t="str">
        <x:v>zone</x:v>
      </x:c>
      <x:c r="C10" s="145" t="str">
        <x:v>SAFETY_INTERLOCK</x:v>
      </x:c>
      <x:c r="D10" s="145" t="str">
        <x:v>safety_critical</x:v>
      </x:c>
      <x:c r="E10" s="145" t="str">
        <x:v>NA</x:v>
      </x:c>
      <x:c r="F10" s="145" t="str">
        <x:v>NA</x:v>
      </x:c>
      <x:c r="G10" s="145" t="str">
        <x:v>NA</x:v>
      </x:c>
      <x:c r="H10" s="145" t="str">
        <x:v>NA</x:v>
      </x:c>
      <x:c r="I10" s="145" t="str">
        <x:v>NA</x:v>
      </x:c>
      <x:c r="J10" s="145" t="str">
        <x:v>true</x:v>
      </x:c>
      <x:c r="K10" s="145" t="str">
        <x:v>true</x:v>
      </x:c>
      <x:c r="L10" s="145" t="str">
        <x:v>true</x:v>
      </x:c>
      <x:c r="M10" s="145" t="str">
        <x:v>NA</x:v>
      </x:c>
      <x:c r="N10" s="145" t="str">
        <x:v>true</x:v>
      </x:c>
      <x:c r="O10" s="145" t="str">
        <x:v>true</x:v>
      </x:c>
      <x:c r="P10" s="145" t="str">
        <x:v>true</x:v>
      </x:c>
      <x:c r="Q10" s="145" t="str">
        <x:v>REPLACE_WITH_SAFETY_OWNER</x:v>
      </x:c>
      <x:c r="R10" s="145" t="str">
        <x:v>not_started</x:v>
      </x:c>
      <x:c r="S10" s="145" t="str">
        <x:v>REPLACE_WITH_64_HEX_SHA256</x:v>
      </x:c>
      <x:c r="T10" s="145" t="str">
        <x:v>独立安全联锁区且禁止软件绕过</x:v>
      </x:c>
    </x:row>
    <x:row r="11" ht="25" customHeight="1">
      <x:c r="A11" s="145" t="str">
        <x:v>CONDUIT-001</x:v>
      </x:c>
      <x:c r="B11" s="145" t="str">
        <x:v>conduit</x:v>
      </x:c>
      <x:c r="C11" s="145" t="str">
        <x:v>NA</x:v>
      </x:c>
      <x:c r="D11" s="145" t="str">
        <x:v>controlled</x:v>
      </x:c>
      <x:c r="E11" s="145" t="str">
        <x:v>OT_CONTROL</x:v>
      </x:c>
      <x:c r="F11" s="145" t="str">
        <x:v>OT_DMZ</x:v>
      </x:c>
      <x:c r="G11" s="145" t="str">
        <x:v>MQTT_OR_OPC_UA</x:v>
      </x:c>
      <x:c r="H11" s="145" t="str">
        <x:v>REPLACE_WITH_PORTS</x:v>
      </x:c>
      <x:c r="I11" s="145" t="str">
        <x:v>OT_CONTROL</x:v>
      </x:c>
      <x:c r="J11" s="145" t="str">
        <x:v>true</x:v>
      </x:c>
      <x:c r="K11" s="145" t="str">
        <x:v>true</x:v>
      </x:c>
      <x:c r="L11" s="145" t="str">
        <x:v>true</x:v>
      </x:c>
      <x:c r="M11" s="145" t="str">
        <x:v>REPLACE_WITH_FIREWALL_RULE</x:v>
      </x:c>
      <x:c r="N11" s="145" t="str">
        <x:v>false</x:v>
      </x:c>
      <x:c r="O11" s="145" t="str">
        <x:v>false</x:v>
      </x:c>
      <x:c r="P11" s="145" t="str">
        <x:v>true</x:v>
      </x:c>
      <x:c r="Q11" s="145" t="str">
        <x:v>REPLACE_WITH_OT_SECURITY_OWNER</x:v>
      </x:c>
      <x:c r="R11" s="145" t="str">
        <x:v>not_started</x:v>
      </x:c>
      <x:c r="S11" s="145" t="str">
        <x:v>REPLACE_WITH_64_HEX_SHA256</x:v>
      </x:c>
      <x:c r="T11" s="145" t="str">
        <x:v>运行技术遥测单向发布到隔离区</x:v>
      </x:c>
    </x:row>
    <x:row r="12" ht="25" customHeight="1">
      <x:c r="A12" s="145" t="str">
        <x:v>CONDUIT-002</x:v>
      </x:c>
      <x:c r="B12" s="145" t="str">
        <x:v>conduit</x:v>
      </x:c>
      <x:c r="C12" s="145" t="str">
        <x:v>NA</x:v>
      </x:c>
      <x:c r="D12" s="145" t="str">
        <x:v>controlled</x:v>
      </x:c>
      <x:c r="E12" s="145" t="str">
        <x:v>OT_DMZ</x:v>
      </x:c>
      <x:c r="F12" s="145" t="str">
        <x:v>IT_DMZ</x:v>
      </x:c>
      <x:c r="G12" s="145" t="str">
        <x:v>MTLS_MESSAGE_BUS</x:v>
      </x:c>
      <x:c r="H12" s="145" t="str">
        <x:v>REPLACE_WITH_PORTS</x:v>
      </x:c>
      <x:c r="I12" s="145" t="str">
        <x:v>OT_DMZ</x:v>
      </x:c>
      <x:c r="J12" s="145" t="str">
        <x:v>true</x:v>
      </x:c>
      <x:c r="K12" s="145" t="str">
        <x:v>true</x:v>
      </x:c>
      <x:c r="L12" s="145" t="str">
        <x:v>true</x:v>
      </x:c>
      <x:c r="M12" s="145" t="str">
        <x:v>REPLACE_WITH_FIREWALL_RULE</x:v>
      </x:c>
      <x:c r="N12" s="145" t="str">
        <x:v>false</x:v>
      </x:c>
      <x:c r="O12" s="145" t="str">
        <x:v>false</x:v>
      </x:c>
      <x:c r="P12" s="145" t="str">
        <x:v>true</x:v>
      </x:c>
      <x:c r="Q12" s="145" t="str">
        <x:v>REPLACE_WITH_OT_SECURITY_OWNER</x:v>
      </x:c>
      <x:c r="R12" s="145" t="str">
        <x:v>not_started</x:v>
      </x:c>
      <x:c r="S12" s="145" t="str">
        <x:v>REPLACE_WITH_64_HEX_SHA256</x:v>
      </x:c>
      <x:c r="T12" s="145" t="str">
        <x:v>只读遥测转发</x:v>
      </x:c>
    </x:row>
    <x:row r="13" ht="25" customHeight="1">
      <x:c r="A13" s="145" t="str">
        <x:v>CONDUIT-003</x:v>
      </x:c>
      <x:c r="B13" s="145" t="str">
        <x:v>conduit</x:v>
      </x:c>
      <x:c r="C13" s="145" t="str">
        <x:v>NA</x:v>
      </x:c>
      <x:c r="D13" s="145" t="str">
        <x:v>controlled</x:v>
      </x:c>
      <x:c r="E13" s="145" t="str">
        <x:v>IT_ZONE</x:v>
      </x:c>
      <x:c r="F13" s="145" t="str">
        <x:v>IT_DMZ</x:v>
      </x:c>
      <x:c r="G13" s="145" t="str">
        <x:v>HTTPS_MTLS</x:v>
      </x:c>
      <x:c r="H13" s="145" t="str">
        <x:v>443</x:v>
      </x:c>
      <x:c r="I13" s="145" t="str">
        <x:v>IT_ZONE</x:v>
      </x:c>
      <x:c r="J13" s="145" t="str">
        <x:v>true</x:v>
      </x:c>
      <x:c r="K13" s="145" t="str">
        <x:v>true</x:v>
      </x:c>
      <x:c r="L13" s="145" t="str">
        <x:v>true</x:v>
      </x:c>
      <x:c r="M13" s="145" t="str">
        <x:v>REPLACE_WITH_FIREWALL_RULE</x:v>
      </x:c>
      <x:c r="N13" s="145" t="str">
        <x:v>true</x:v>
      </x:c>
      <x:c r="O13" s="145" t="str">
        <x:v>true</x:v>
      </x:c>
      <x:c r="P13" s="145" t="str">
        <x:v>true</x:v>
      </x:c>
      <x:c r="Q13" s="145" t="str">
        <x:v>REPLACE_WITH_CISO_OWNER</x:v>
      </x:c>
      <x:c r="R13" s="145" t="str">
        <x:v>not_started</x:v>
      </x:c>
      <x:c r="S13" s="145" t="str">
        <x:v>REPLACE_WITH_64_HEX_SHA256</x:v>
      </x:c>
      <x:c r="T13" s="145" t="str">
        <x:v>身份管理与受控运维</x:v>
      </x:c>
    </x:row>
    <x:row r="14" ht="25" customHeight="1">
      <x:c r="A14" s="145" t="str">
        <x:v>CONDUIT-004</x:v>
      </x:c>
      <x:c r="B14" s="145" t="str">
        <x:v>conduit</x:v>
      </x:c>
      <x:c r="C14" s="145" t="str">
        <x:v>NA</x:v>
      </x:c>
      <x:c r="D14" s="145" t="str">
        <x:v>critical</x:v>
      </x:c>
      <x:c r="E14" s="145" t="str">
        <x:v>OT_DMZ</x:v>
      </x:c>
      <x:c r="F14" s="145" t="str">
        <x:v>OT_CONTROL</x:v>
      </x:c>
      <x:c r="G14" s="145" t="str">
        <x:v>ADVISORY_HANDOFF</x:v>
      </x:c>
      <x:c r="H14" s="145" t="str">
        <x:v>REPLACE_WITH_PORTS</x:v>
      </x:c>
      <x:c r="I14" s="145" t="str">
        <x:v>OT_DMZ</x:v>
      </x:c>
      <x:c r="J14" s="145" t="str">
        <x:v>true</x:v>
      </x:c>
      <x:c r="K14" s="145" t="str">
        <x:v>true</x:v>
      </x:c>
      <x:c r="L14" s="145" t="str">
        <x:v>true</x:v>
      </x:c>
      <x:c r="M14" s="145" t="str">
        <x:v>REPLACE_WITH_FIREWALL_RULE</x:v>
      </x:c>
      <x:c r="N14" s="145" t="str">
        <x:v>false</x:v>
      </x:c>
      <x:c r="O14" s="145" t="str">
        <x:v>false</x:v>
      </x:c>
      <x:c r="P14" s="145" t="str">
        <x:v>true</x:v>
      </x:c>
      <x:c r="Q14" s="145" t="str">
        <x:v>REPLACE_WITH_CONTROL_OWNER</x:v>
      </x:c>
      <x:c r="R14" s="145" t="str">
        <x:v>not_started</x:v>
      </x:c>
      <x:c r="S14" s="145" t="str">
        <x:v>REPLACE_WITH_64_HEX_SHA256</x:v>
      </x:c>
      <x:c r="T14" s="145" t="str">
        <x:v>仅建议交接不含设备命令</x:v>
      </x:c>
    </x:row>
    <x:row r="15" ht="25" customHeight="1">
      <x:c r="A15" s="145" t="str">
        <x:v>CONDUIT-005</x:v>
      </x:c>
      <x:c r="B15" s="145" t="str">
        <x:v>conduit</x:v>
      </x:c>
      <x:c r="C15" s="145" t="str">
        <x:v>NA</x:v>
      </x:c>
      <x:c r="D15" s="145" t="str">
        <x:v>safety_critical</x:v>
      </x:c>
      <x:c r="E15" s="145" t="str">
        <x:v>OT_CONTROL</x:v>
      </x:c>
      <x:c r="F15" s="145" t="str">
        <x:v>SAFETY_INTERLOCK</x:v>
      </x:c>
      <x:c r="G15" s="145" t="str">
        <x:v>HARDWIRED_OR_SAFETY_PROTOCOL</x:v>
      </x:c>
      <x:c r="H15" s="145" t="str">
        <x:v>REPLACE_WITH_PORTS</x:v>
      </x:c>
      <x:c r="I15" s="145" t="str">
        <x:v>OT_CONTROL</x:v>
      </x:c>
      <x:c r="J15" s="145" t="str">
        <x:v>true</x:v>
      </x:c>
      <x:c r="K15" s="145" t="str">
        <x:v>true</x:v>
      </x:c>
      <x:c r="L15" s="145" t="str">
        <x:v>true</x:v>
      </x:c>
      <x:c r="M15" s="145" t="str">
        <x:v>REPLACE_WITH_SAFETY_RULE</x:v>
      </x:c>
      <x:c r="N15" s="145" t="str">
        <x:v>false</x:v>
      </x:c>
      <x:c r="O15" s="145" t="str">
        <x:v>false</x:v>
      </x:c>
      <x:c r="P15" s="145" t="str">
        <x:v>true</x:v>
      </x:c>
      <x:c r="Q15" s="145" t="str">
        <x:v>REPLACE_WITH_SAFETY_OWNER</x:v>
      </x:c>
      <x:c r="R15" s="145" t="str">
        <x:v>not_started</x:v>
      </x:c>
      <x:c r="S15" s="145" t="str">
        <x:v>REPLACE_WITH_64_HEX_SHA256</x:v>
      </x:c>
      <x:c r="T15" s="145" t="str">
        <x:v>独立联锁保有最终否决权</x:v>
      </x:c>
    </x:row>
    <x:row r="16" ht="25" customHeight="1">
      <x:c r="A16" s="146" t="str">
        <x:v>CONDUIT-006</x:v>
      </x:c>
      <x:c r="B16" s="146" t="str">
        <x:v>conduit</x:v>
      </x:c>
      <x:c r="C16" s="146" t="str">
        <x:v>NA</x:v>
      </x:c>
      <x:c r="D16" s="146" t="str">
        <x:v>controlled</x:v>
      </x:c>
      <x:c r="E16" s="146" t="str">
        <x:v>IT_DMZ</x:v>
      </x:c>
      <x:c r="F16" s="146" t="str">
        <x:v>IT_ZONE</x:v>
      </x:c>
      <x:c r="G16" s="146" t="str">
        <x:v>SIEM_WORM_EXPORT</x:v>
      </x:c>
      <x:c r="H16" s="146" t="str">
        <x:v>REPLACE_WITH_PORTS</x:v>
      </x:c>
      <x:c r="I16" s="146" t="str">
        <x:v>IT_DMZ</x:v>
      </x:c>
      <x:c r="J16" s="146" t="str">
        <x:v>true</x:v>
      </x:c>
      <x:c r="K16" s="146" t="str">
        <x:v>true</x:v>
      </x:c>
      <x:c r="L16" s="146" t="str">
        <x:v>true</x:v>
      </x:c>
      <x:c r="M16" s="146" t="str">
        <x:v>REPLACE_WITH_FIREWALL_RULE</x:v>
      </x:c>
      <x:c r="N16" s="146" t="str">
        <x:v>false</x:v>
      </x:c>
      <x:c r="O16" s="146" t="str">
        <x:v>false</x:v>
      </x:c>
      <x:c r="P16" s="146" t="str">
        <x:v>true</x:v>
      </x:c>
      <x:c r="Q16" s="146" t="str">
        <x:v>REPLACE_WITH_CISO_OWNER</x:v>
      </x:c>
      <x:c r="R16" s="146" t="str">
        <x:v>not_started</x:v>
      </x:c>
      <x:c r="S16" s="146" t="str">
        <x:v>REPLACE_WITH_64_HEX_SHA256</x:v>
      </x:c>
      <x:c r="T16" s="146" t="str">
        <x:v>安全日志和不可改写审计副本</x:v>
      </x:c>
    </x:row>
  </x:sheetData>
  <x:mergeCells>
    <x:mergeCell ref="A1:T1"/>
    <x:mergeCell ref="A2:T2"/>
  </x:mergeCells>
  <x:conditionalFormatting sqref="A6:T16">
    <x:cfRule type="containsText" dxfId="15" priority="1" operator="containsText" text="REPLACE_WITH"/>
  </x:conditionalFormatting>
  <x:conditionalFormatting sqref="R6:R16">
    <x:cfRule type="containsText" dxfId="16" priority="2" operator="containsText" text="accepted"/>
    <x:cfRule type="containsText" dxfId="17" priority="3" operator="containsText" text="approved"/>
    <x:cfRule type="containsText" dxfId="18" priority="4" operator="containsText" text="passed"/>
    <x:cfRule type="containsText" dxfId="19" priority="5" operator="containsText" text="not_started"/>
    <x:cfRule type="containsText" dxfId="20" priority="6" operator="containsText" text="blocked"/>
    <x:cfRule type="containsText" dxfId="21" priority="7" operator="containsText" text="rejected"/>
  </x:conditionalFormatting>
  <x:dataValidations count="1">
    <x:dataValidation type="list" sqref="R6:R16">
      <x:formula1>"not_started,designed,tested,accepted,rejected"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bc6116c30549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5" hidden="0" customWidth="1"/>
    <x:col min="2" max="2" width="22" hidden="0" customWidth="1"/>
    <x:col min="3" max="3" width="14.5" hidden="0" customWidth="1"/>
    <x:col min="4" max="4" width="22" hidden="0" customWidth="1"/>
    <x:col min="5" max="5" width="25" hidden="0" customWidth="1"/>
    <x:col min="6" max="6" width="20.75" hidden="0" customWidth="1"/>
    <x:col min="7" max="7" width="25" hidden="0" customWidth="1"/>
    <x:col min="8" max="8" width="25" hidden="0" customWidth="1"/>
    <x:col min="9" max="9" width="14.5" hidden="0" customWidth="1"/>
    <x:col min="10" max="10" width="18.25" hidden="0" customWidth="1"/>
    <x:col min="11" max="11" width="23.25" hidden="0" customWidth="1"/>
    <x:col min="12" max="12" width="23.25" hidden="0" customWidth="1"/>
    <x:col min="13" max="13" width="15.75" hidden="0" customWidth="1"/>
    <x:col min="14" max="14" width="23.25" hidden="0" customWidth="1"/>
  </x:cols>
  <x:sheetData>
    <x:row r="1" ht="34" customHeight="1">
      <x:c r="A1" s="3" t="str">
        <x:v>现场职责分工矩阵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每项活动必须恰好有一个最终负责方 A；R=执行，C=协商，I=知会。六方签字的独立批准在六方签字表逐一记录。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5" customHeight="1">
      <x:c r="A3" s="147" t="str">
        <x:v>已接受</x:v>
      </x:c>
      <x:c r="B3" s="148" t="n">
        <x:f>COUNTIF(M6:M16,"accepted")</x:f>
        <x:v>0</x:v>
      </x:c>
      <x:c r="C3" s="148" t="str">
        <x:v>总数</x:v>
      </x:c>
      <x:c r="D3" s="148" t="n">
        <x:f>COUNTA(A6:A16)</x:f>
        <x:v>11</x:v>
      </x:c>
      <x:c r="E3" s="148" t="str">
        <x:v>完成率</x:v>
      </x:c>
      <x:c r="F3" s="149" t="n">
        <x:f>IF(D3=0,0,B3/D3)</x:f>
        <x:v>0</x:v>
      </x:c>
      <x:c r="G3" s="148" t="str">
        <x:v>现场状态</x:v>
      </x:c>
      <x:c r="H3" s="150" t="str">
        <x:f>IF(F3=1,"完整","待补齐")</x:f>
        <x:v>待补齐</x:v>
      </x:c>
      <x:c r="I3" s="69"/>
      <x:c r="J3" s="69"/>
      <x:c r="K3" s="69"/>
      <x:c r="L3" s="69"/>
      <x:c r="M3" s="69"/>
      <x:c r="N3" s="69"/>
    </x:row>
    <x:row r="4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</x:row>
    <x:row r="5" ht="36" customHeight="1">
      <x:c r="A5" s="134" t="str">
        <x:v>activity_id</x:v>
      </x:c>
      <x:c r="B5" s="135" t="str">
        <x:v>activity</x:v>
      </x:c>
      <x:c r="C5" s="135" t="str">
        <x:v>port_owner</x:v>
      </x:c>
      <x:c r="D5" s="135" t="str">
        <x:v>operations_owner</x:v>
      </x:c>
      <x:c r="E5" s="135" t="str">
        <x:v>energy_carbon_owner</x:v>
      </x:c>
      <x:c r="F5" s="135" t="str">
        <x:v>ot_safety_owner</x:v>
      </x:c>
      <x:c r="G5" s="135" t="str">
        <x:v>chief_information_security_officer</x:v>
      </x:c>
      <x:c r="H5" s="135" t="str">
        <x:v>independent_verifier</x:v>
      </x:c>
      <x:c r="I5" s="135" t="str">
        <x:v>data_owner</x:v>
      </x:c>
      <x:c r="J5" s="135" t="str">
        <x:v>finance_owner</x:v>
      </x:c>
      <x:c r="K5" s="135" t="str">
        <x:v>it_platform_owner</x:v>
      </x:c>
      <x:c r="L5" s="135" t="str">
        <x:v>evidence_required</x:v>
      </x:c>
      <x:c r="M5" s="135" t="str">
        <x:v>status</x:v>
      </x:c>
      <x:c r="N5" s="136" t="str">
        <x:v>notes</x:v>
      </x:c>
    </x:row>
    <x:row r="6" ht="25" customHeight="1">
      <x:c r="A6" s="144" t="str">
        <x:v>RACI-001</x:v>
      </x:c>
      <x:c r="B6" s="144" t="str">
        <x:v>冻结现场范围与目标发布</x:v>
      </x:c>
      <x:c r="C6" s="144" t="str">
        <x:v>A</x:v>
      </x:c>
      <x:c r="D6" s="144" t="str">
        <x:v>C</x:v>
      </x:c>
      <x:c r="E6" s="144" t="str">
        <x:v>C</x:v>
      </x:c>
      <x:c r="F6" s="144" t="str">
        <x:v>C</x:v>
      </x:c>
      <x:c r="G6" s="144" t="str">
        <x:v>C</x:v>
      </x:c>
      <x:c r="H6" s="144" t="str">
        <x:v>I</x:v>
      </x:c>
      <x:c r="I6" s="144" t="str">
        <x:v>I</x:v>
      </x:c>
      <x:c r="J6" s="144" t="str">
        <x:v>I</x:v>
      </x:c>
      <x:c r="K6" s="144" t="str">
        <x:v>I</x:v>
      </x:c>
      <x:c r="L6" s="144" t="str">
        <x:v>获批范围和发布哈希</x:v>
      </x:c>
      <x:c r="M6" s="144" t="str">
        <x:v>not_started</x:v>
      </x:c>
      <x:c r="N6" s="144" t="str">
        <x:v>必须唯一最终负责方</x:v>
      </x:c>
    </x:row>
    <x:row r="7" ht="25" customHeight="1">
      <x:c r="A7" s="145" t="str">
        <x:v>RACI-002</x:v>
      </x:c>
      <x:c r="B7" s="145" t="str">
        <x:v>批准源系统映射与数据血缘</x:v>
      </x:c>
      <x:c r="C7" s="145" t="str">
        <x:v>I</x:v>
      </x:c>
      <x:c r="D7" s="145" t="str">
        <x:v>C</x:v>
      </x:c>
      <x:c r="E7" s="145" t="str">
        <x:v>C</x:v>
      </x:c>
      <x:c r="F7" s="145" t="str">
        <x:v>C</x:v>
      </x:c>
      <x:c r="G7" s="145" t="str">
        <x:v>C</x:v>
      </x:c>
      <x:c r="H7" s="145" t="str">
        <x:v>I</x:v>
      </x:c>
      <x:c r="I7" s="145" t="str">
        <x:v>A</x:v>
      </x:c>
      <x:c r="J7" s="145" t="str">
        <x:v>I</x:v>
      </x:c>
      <x:c r="K7" s="145" t="str">
        <x:v>R</x:v>
      </x:c>
      <x:c r="L7" s="145" t="str">
        <x:v>系统映射和源系统回执</x:v>
      </x:c>
      <x:c r="M7" s="145" t="str">
        <x:v>not_started</x:v>
      </x:c>
      <x:c r="N7" s="145" t="str">
        <x:v>数据所有者最终负责</x:v>
      </x:c>
    </x:row>
    <x:row r="8" ht="25" customHeight="1">
      <x:c r="A8" s="145" t="str">
        <x:v>RACI-003</x:v>
      </x:c>
      <x:c r="B8" s="145" t="str">
        <x:v>完成设备电表点表及校准</x:v>
      </x:c>
      <x:c r="C8" s="145" t="str">
        <x:v>I</x:v>
      </x:c>
      <x:c r="D8" s="145" t="str">
        <x:v>C</x:v>
      </x:c>
      <x:c r="E8" s="145" t="str">
        <x:v>A</x:v>
      </x:c>
      <x:c r="F8" s="145" t="str">
        <x:v>C</x:v>
      </x:c>
      <x:c r="G8" s="145" t="str">
        <x:v>I</x:v>
      </x:c>
      <x:c r="H8" s="145" t="str">
        <x:v>C</x:v>
      </x:c>
      <x:c r="I8" s="145" t="str">
        <x:v>R</x:v>
      </x:c>
      <x:c r="J8" s="145" t="str">
        <x:v>C</x:v>
      </x:c>
      <x:c r="K8" s="145" t="str">
        <x:v>I</x:v>
      </x:c>
      <x:c r="L8" s="145" t="str">
        <x:v>点表校准证书和三方对账</x:v>
      </x:c>
      <x:c r="M8" s="145" t="str">
        <x:v>not_started</x:v>
      </x:c>
      <x:c r="N8" s="145" t="str">
        <x:v>能碳负责人最终负责</x:v>
      </x:c>
    </x:row>
    <x:row r="9" ht="25" customHeight="1">
      <x:c r="A9" s="145" t="str">
        <x:v>RACI-004</x:v>
      </x:c>
      <x:c r="B9" s="145" t="str">
        <x:v>批准网络分区与受控通道</x:v>
      </x:c>
      <x:c r="C9" s="145" t="str">
        <x:v>I</x:v>
      </x:c>
      <x:c r="D9" s="145" t="str">
        <x:v>I</x:v>
      </x:c>
      <x:c r="E9" s="145" t="str">
        <x:v>C</x:v>
      </x:c>
      <x:c r="F9" s="145" t="str">
        <x:v>R</x:v>
      </x:c>
      <x:c r="G9" s="145" t="str">
        <x:v>A</x:v>
      </x:c>
      <x:c r="H9" s="145" t="str">
        <x:v>C</x:v>
      </x:c>
      <x:c r="I9" s="145" t="str">
        <x:v>I</x:v>
      </x:c>
      <x:c r="J9" s="145" t="str">
        <x:v>I</x:v>
      </x:c>
      <x:c r="K9" s="145" t="str">
        <x:v>R</x:v>
      </x:c>
      <x:c r="L9" s="145" t="str">
        <x:v>防火墙规则渗透测试和会话记录</x:v>
      </x:c>
      <x:c r="M9" s="145" t="str">
        <x:v>not_started</x:v>
      </x:c>
      <x:c r="N9" s="145" t="str">
        <x:v>首席信息安全官最终负责</x:v>
      </x:c>
    </x:row>
    <x:row r="10" ht="25" customHeight="1">
      <x:c r="A10" s="145" t="str">
        <x:v>RACI-005</x:v>
      </x:c>
      <x:c r="B10" s="145" t="str">
        <x:v>验证外部生产网关及独立联锁</x:v>
      </x:c>
      <x:c r="C10" s="145" t="str">
        <x:v>I</x:v>
      </x:c>
      <x:c r="D10" s="145" t="str">
        <x:v>R</x:v>
      </x:c>
      <x:c r="E10" s="145" t="str">
        <x:v>C</x:v>
      </x:c>
      <x:c r="F10" s="145" t="str">
        <x:v>A</x:v>
      </x:c>
      <x:c r="G10" s="145" t="str">
        <x:v>C</x:v>
      </x:c>
      <x:c r="H10" s="145" t="str">
        <x:v>C</x:v>
      </x:c>
      <x:c r="I10" s="145" t="str">
        <x:v>I</x:v>
      </x:c>
      <x:c r="J10" s="145" t="str">
        <x:v>I</x:v>
      </x:c>
      <x:c r="K10" s="145" t="str">
        <x:v>I</x:v>
      </x:c>
      <x:c r="L10" s="145" t="str">
        <x:v>设备能力回执超时降级和联锁测试</x:v>
      </x:c>
      <x:c r="M10" s="145" t="str">
        <x:v>not_started</x:v>
      </x:c>
      <x:c r="N10" s="145" t="str">
        <x:v>运行技术安全负责人最终负责</x:v>
      </x:c>
    </x:row>
    <x:row r="11" ht="25" customHeight="1">
      <x:c r="A11" s="145" t="str">
        <x:v>RACI-006</x:v>
      </x:c>
      <x:c r="B11" s="145" t="str">
        <x:v>执行连续180天影子运行</x:v>
      </x:c>
      <x:c r="C11" s="145" t="str">
        <x:v>C</x:v>
      </x:c>
      <x:c r="D11" s="145" t="str">
        <x:v>A</x:v>
      </x:c>
      <x:c r="E11" s="145" t="str">
        <x:v>R</x:v>
      </x:c>
      <x:c r="F11" s="145" t="str">
        <x:v>C</x:v>
      </x:c>
      <x:c r="G11" s="145" t="str">
        <x:v>C</x:v>
      </x:c>
      <x:c r="H11" s="145" t="str">
        <x:v>C</x:v>
      </x:c>
      <x:c r="I11" s="145" t="str">
        <x:v>R</x:v>
      </x:c>
      <x:c r="J11" s="145" t="str">
        <x:v>I</x:v>
      </x:c>
      <x:c r="K11" s="145" t="str">
        <x:v>R</x:v>
      </x:c>
      <x:c r="L11" s="145" t="str">
        <x:v>日证据包场景覆盖和人工否决记录</x:v>
      </x:c>
      <x:c r="M11" s="145" t="str">
        <x:v>not_started</x:v>
      </x:c>
      <x:c r="N11" s="145" t="str">
        <x:v>运营负责人最终负责</x:v>
      </x:c>
    </x:row>
    <x:row r="12" ht="25" customHeight="1">
      <x:c r="A12" s="145" t="str">
        <x:v>RACI-007</x:v>
      </x:c>
      <x:c r="B12" s="145" t="str">
        <x:v>完成高可用灾备网络安全与回滚演练</x:v>
      </x:c>
      <x:c r="C12" s="145" t="str">
        <x:v>I</x:v>
      </x:c>
      <x:c r="D12" s="145" t="str">
        <x:v>C</x:v>
      </x:c>
      <x:c r="E12" s="145" t="str">
        <x:v>C</x:v>
      </x:c>
      <x:c r="F12" s="145" t="str">
        <x:v>R</x:v>
      </x:c>
      <x:c r="G12" s="145" t="str">
        <x:v>A</x:v>
      </x:c>
      <x:c r="H12" s="145" t="str">
        <x:v>C</x:v>
      </x:c>
      <x:c r="I12" s="145" t="str">
        <x:v>I</x:v>
      </x:c>
      <x:c r="J12" s="145" t="str">
        <x:v>I</x:v>
      </x:c>
      <x:c r="K12" s="145" t="str">
        <x:v>R</x:v>
      </x:c>
      <x:c r="L12" s="145" t="str">
        <x:v>演练记录恢复点恢复时间和缺陷关闭</x:v>
      </x:c>
      <x:c r="M12" s="145" t="str">
        <x:v>not_started</x:v>
      </x:c>
      <x:c r="N12" s="145" t="str">
        <x:v>首席信息安全官最终负责</x:v>
      </x:c>
    </x:row>
    <x:row r="13" ht="25" customHeight="1">
      <x:c r="A13" s="145" t="str">
        <x:v>RACI-008</x:v>
      </x:c>
      <x:c r="B13" s="145" t="str">
        <x:v>独立量测验证与效益归因</x:v>
      </x:c>
      <x:c r="C13" s="145" t="str">
        <x:v>I</x:v>
      </x:c>
      <x:c r="D13" s="145" t="str">
        <x:v>C</x:v>
      </x:c>
      <x:c r="E13" s="145" t="str">
        <x:v>R</x:v>
      </x:c>
      <x:c r="F13" s="145" t="str">
        <x:v>C</x:v>
      </x:c>
      <x:c r="G13" s="145" t="str">
        <x:v>I</x:v>
      </x:c>
      <x:c r="H13" s="145" t="str">
        <x:v>A</x:v>
      </x:c>
      <x:c r="I13" s="145" t="str">
        <x:v>C</x:v>
      </x:c>
      <x:c r="J13" s="145" t="str">
        <x:v>C</x:v>
      </x:c>
      <x:c r="K13" s="145" t="str">
        <x:v>I</x:v>
      </x:c>
      <x:c r="L13" s="145" t="str">
        <x:v>独立量测验证报告和效益归因摘要</x:v>
      </x:c>
      <x:c r="M13" s="145" t="str">
        <x:v>not_started</x:v>
      </x:c>
      <x:c r="N13" s="145" t="str">
        <x:v>独立核证人最终负责</x:v>
      </x:c>
    </x:row>
    <x:row r="14" ht="25" customHeight="1">
      <x:c r="A14" s="145" t="str">
        <x:v>RACI-009</x:v>
      </x:c>
      <x:c r="B14" s="145" t="str">
        <x:v>冻结十三域报告与十六门禁</x:v>
      </x:c>
      <x:c r="C14" s="145" t="str">
        <x:v>A</x:v>
      </x:c>
      <x:c r="D14" s="145" t="str">
        <x:v>R</x:v>
      </x:c>
      <x:c r="E14" s="145" t="str">
        <x:v>R</x:v>
      </x:c>
      <x:c r="F14" s="145" t="str">
        <x:v>R</x:v>
      </x:c>
      <x:c r="G14" s="145" t="str">
        <x:v>R</x:v>
      </x:c>
      <x:c r="H14" s="145" t="str">
        <x:v>C</x:v>
      </x:c>
      <x:c r="I14" s="145" t="str">
        <x:v>R</x:v>
      </x:c>
      <x:c r="J14" s="145" t="str">
        <x:v>R</x:v>
      </x:c>
      <x:c r="K14" s="145" t="str">
        <x:v>R</x:v>
      </x:c>
      <x:c r="L14" s="145" t="str">
        <x:v>十三域签名报告和门禁关闭记录</x:v>
      </x:c>
      <x:c r="M14" s="145" t="str">
        <x:v>not_started</x:v>
      </x:c>
      <x:c r="N14" s="145" t="str">
        <x:v>港口负责人最终负责</x:v>
      </x:c>
    </x:row>
    <x:row r="15" ht="25" customHeight="1">
      <x:c r="A15" s="145" t="str">
        <x:v>RACI-010</x:v>
      </x:c>
      <x:c r="B15" s="145" t="str">
        <x:v>组织完整验收包六方签字</x:v>
      </x:c>
      <x:c r="C15" s="145" t="str">
        <x:v>A</x:v>
      </x:c>
      <x:c r="D15" s="145" t="str">
        <x:v>R</x:v>
      </x:c>
      <x:c r="E15" s="145" t="str">
        <x:v>R</x:v>
      </x:c>
      <x:c r="F15" s="145" t="str">
        <x:v>R</x:v>
      </x:c>
      <x:c r="G15" s="145" t="str">
        <x:v>R</x:v>
      </x:c>
      <x:c r="H15" s="145" t="str">
        <x:v>R</x:v>
      </x:c>
      <x:c r="I15" s="145" t="str">
        <x:v>C</x:v>
      </x:c>
      <x:c r="J15" s="145" t="str">
        <x:v>C</x:v>
      </x:c>
      <x:c r="K15" s="145" t="str">
        <x:v>C</x:v>
      </x:c>
      <x:c r="L15" s="145" t="str">
        <x:v>同一完整包摘要和六方签名</x:v>
      </x:c>
      <x:c r="M15" s="145" t="str">
        <x:v>not_started</x:v>
      </x:c>
      <x:c r="N15" s="145" t="str">
        <x:v>六方各自的批准责任在批准登记中保留</x:v>
      </x:c>
    </x:row>
    <x:row r="16" ht="25" customHeight="1">
      <x:c r="A16" s="146" t="str">
        <x:v>RACI-011</x:v>
      </x:c>
      <x:c r="B16" s="146" t="str">
        <x:v>外部变更委员会切换</x:v>
      </x:c>
      <x:c r="C16" s="146" t="str">
        <x:v>A</x:v>
      </x:c>
      <x:c r="D16" s="146" t="str">
        <x:v>R</x:v>
      </x:c>
      <x:c r="E16" s="146" t="str">
        <x:v>C</x:v>
      </x:c>
      <x:c r="F16" s="146" t="str">
        <x:v>R</x:v>
      </x:c>
      <x:c r="G16" s="146" t="str">
        <x:v>C</x:v>
      </x:c>
      <x:c r="H16" s="146" t="str">
        <x:v>C</x:v>
      </x:c>
      <x:c r="I16" s="146" t="str">
        <x:v>I</x:v>
      </x:c>
      <x:c r="J16" s="146" t="str">
        <x:v>I</x:v>
      </x:c>
      <x:c r="K16" s="146" t="str">
        <x:v>R</x:v>
      </x:c>
      <x:c r="L16" s="146" t="str">
        <x:v>变更单人员在岗联锁状态和回滚负责人</x:v>
      </x:c>
      <x:c r="M16" s="146" t="str">
        <x:v>not_started</x:v>
      </x:c>
      <x:c r="N16" s="146" t="str">
        <x:v>应用不执行物理切换</x:v>
      </x:c>
    </x:row>
  </x:sheetData>
  <x:mergeCells>
    <x:mergeCell ref="A1:N1"/>
    <x:mergeCell ref="A2:N2"/>
  </x:mergeCells>
  <x:conditionalFormatting sqref="A6:N16">
    <x:cfRule type="containsText" dxfId="22" priority="1" operator="containsText" text="REPLACE_WITH"/>
  </x:conditionalFormatting>
  <x:conditionalFormatting sqref="M6:M16">
    <x:cfRule type="containsText" dxfId="23" priority="2" operator="containsText" text="accepted"/>
    <x:cfRule type="containsText" dxfId="24" priority="3" operator="containsText" text="approved"/>
    <x:cfRule type="containsText" dxfId="25" priority="4" operator="containsText" text="passed"/>
    <x:cfRule type="containsText" dxfId="26" priority="5" operator="containsText" text="not_started"/>
    <x:cfRule type="containsText" dxfId="27" priority="6" operator="containsText" text="blocked"/>
    <x:cfRule type="containsText" dxfId="28" priority="7" operator="containsText" text="rejected"/>
  </x:conditionalFormatting>
  <x:dataValidations count="1">
    <x:dataValidation type="list" sqref="M6:M16">
      <x:formula1>"not_started,assigned,accepted,rejected"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46deec87a54c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5" hidden="0" customWidth="1"/>
    <x:col min="2" max="2" width="25" hidden="0" customWidth="1"/>
    <x:col min="3" max="3" width="13.25" hidden="0" customWidth="1"/>
    <x:col min="4" max="4" width="11" hidden="0" customWidth="1"/>
    <x:col min="5" max="5" width="25" hidden="0" customWidth="1"/>
    <x:col min="6" max="6" width="25" hidden="0" customWidth="1"/>
    <x:col min="7" max="7" width="27" hidden="0" customWidth="1"/>
    <x:col min="8" max="8" width="25" hidden="0" customWidth="1"/>
    <x:col min="9" max="9" width="28.25" hidden="0" customWidth="1"/>
    <x:col min="10" max="10" width="38" hidden="0" customWidth="1"/>
    <x:col min="11" max="11" width="25" hidden="0" customWidth="1"/>
    <x:col min="12" max="12" width="15.75" hidden="0" customWidth="1"/>
    <x:col min="13" max="13" width="34.5" hidden="0" customWidth="1"/>
    <x:col min="14" max="14" width="27" hidden="0" customWidth="1"/>
  </x:cols>
  <x:sheetData>
    <x:row r="1" ht="34" customHeight="1">
      <x:c r="A1" s="3" t="str">
        <x:v>180 天影子运行与验收计划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连续覆盖第 1–180 天、至少两个运营季节及旺季、淡季、极端天气、设备故障、电网降额和计划检修。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5" customHeight="1">
      <x:c r="A3" s="147" t="str">
        <x:v>已接受</x:v>
      </x:c>
      <x:c r="B3" s="148" t="n">
        <x:f>COUNTIF(L6:L17,"accepted")</x:f>
        <x:v>0</x:v>
      </x:c>
      <x:c r="C3" s="148" t="str">
        <x:v>总数</x:v>
      </x:c>
      <x:c r="D3" s="148" t="n">
        <x:f>COUNTA(A6:A17)</x:f>
        <x:v>12</x:v>
      </x:c>
      <x:c r="E3" s="148" t="str">
        <x:v>完成率</x:v>
      </x:c>
      <x:c r="F3" s="149" t="n">
        <x:f>IF(D3=0,0,B3/D3)</x:f>
        <x:v>0</x:v>
      </x:c>
      <x:c r="G3" s="148" t="str">
        <x:v>现场状态</x:v>
      </x:c>
      <x:c r="H3" s="150" t="str">
        <x:f>IF(F3=1,"完整","待补齐")</x:f>
        <x:v>待补齐</x:v>
      </x:c>
      <x:c r="I3" s="69"/>
      <x:c r="J3" s="69"/>
      <x:c r="K3" s="69"/>
      <x:c r="L3" s="69"/>
      <x:c r="M3" s="69"/>
      <x:c r="N3" s="69"/>
    </x:row>
    <x:row r="4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</x:row>
    <x:row r="5" ht="36" customHeight="1">
      <x:c r="A5" s="134" t="str">
        <x:v>work_package_id</x:v>
      </x:c>
      <x:c r="B5" s="135" t="str">
        <x:v>phase</x:v>
      </x:c>
      <x:c r="C5" s="135" t="str">
        <x:v>start_day</x:v>
      </x:c>
      <x:c r="D5" s="135" t="str">
        <x:v>end_day</x:v>
      </x:c>
      <x:c r="E5" s="135" t="str">
        <x:v>scenario</x:v>
      </x:c>
      <x:c r="F5" s="135" t="str">
        <x:v>operating_season</x:v>
      </x:c>
      <x:c r="G5" s="135" t="str">
        <x:v>objective</x:v>
      </x:c>
      <x:c r="H5" s="135" t="str">
        <x:v>minimum_sample_count</x:v>
      </x:c>
      <x:c r="I5" s="135" t="str">
        <x:v>acceptance_gate</x:v>
      </x:c>
      <x:c r="J5" s="135" t="str">
        <x:v>evidence_owner</x:v>
      </x:c>
      <x:c r="K5" s="135" t="str">
        <x:v>approval_role</x:v>
      </x:c>
      <x:c r="L5" s="135" t="str">
        <x:v>status</x:v>
      </x:c>
      <x:c r="M5" s="135" t="str">
        <x:v>evidence_sha256</x:v>
      </x:c>
      <x:c r="N5" s="136" t="str">
        <x:v>notes</x:v>
      </x:c>
    </x:row>
    <x:row r="6" ht="25" customHeight="1">
      <x:c r="A6" s="144" t="str">
        <x:v>SHD-001</x:v>
      </x:c>
      <x:c r="B6" s="144" t="str">
        <x:v>baseline_and_clock</x:v>
      </x:c>
      <x:c r="C6" s="144" t="str">
        <x:v>1</x:v>
      </x:c>
      <x:c r="D6" s="144" t="str">
        <x:v>15</x:v>
      </x:c>
      <x:c r="E6" s="144" t="str">
        <x:v>off_peak_operations</x:v>
      </x:c>
      <x:c r="F6" s="144" t="str">
        <x:v>REPLACE_WITH_SEASON_1</x:v>
      </x:c>
      <x:c r="G6" s="144" t="str">
        <x:v>时钟源重启重发数据质量和现行规则基线</x:v>
      </x:c>
      <x:c r="H6" s="144" t="str">
        <x:v>10000</x:v>
      </x:c>
      <x:c r="I6" s="144" t="str">
        <x:v>六源签名快照和原子复合快照稳定</x:v>
      </x:c>
      <x:c r="J6" s="144" t="str">
        <x:v>REPLACE_WITH_DATA_OWNER</x:v>
      </x:c>
      <x:c r="K6" s="144" t="str">
        <x:v>operations_owner</x:v>
      </x:c>
      <x:c r="L6" s="144" t="str">
        <x:v>not_started</x:v>
      </x:c>
      <x:c r="M6" s="144" t="str">
        <x:v>REPLACE_WITH_64_HEX_SHA256</x:v>
      </x:c>
      <x:c r="N6" s="144" t="str">
        <x:v>全程只读</x:v>
      </x:c>
    </x:row>
    <x:row r="7" ht="25" customHeight="1">
      <x:c r="A7" s="145" t="str">
        <x:v>SHD-002</x:v>
      </x:c>
      <x:c r="B7" s="145" t="str">
        <x:v>meter_reconciliation</x:v>
      </x:c>
      <x:c r="C7" s="145" t="str">
        <x:v>16</x:v>
      </x:c>
      <x:c r="D7" s="145" t="str">
        <x:v>30</x:v>
      </x:c>
      <x:c r="E7" s="145" t="str">
        <x:v>peak_operations</x:v>
      </x:c>
      <x:c r="F7" s="145" t="str">
        <x:v>REPLACE_WITH_SEASON_1</x:v>
      </x:c>
      <x:c r="G7" s="145" t="str">
        <x:v>高负荷能量守恒账单和作业量对账</x:v>
      </x:c>
      <x:c r="H7" s="145" t="str">
        <x:v>10000</x:v>
      </x:c>
      <x:c r="I7" s="145" t="str">
        <x:v>能量误差不超过1%且账单误差不超过0.5%</x:v>
      </x:c>
      <x:c r="J7" s="145" t="str">
        <x:v>REPLACE_WITH_ENERGY_OWNER</x:v>
      </x:c>
      <x:c r="K7" s="145" t="str">
        <x:v>energy_carbon_owner</x:v>
      </x:c>
      <x:c r="L7" s="145" t="str">
        <x:v>not_started</x:v>
      </x:c>
      <x:c r="M7" s="145" t="str">
        <x:v>REPLACE_WITH_64_HEX_SHA256</x:v>
      </x:c>
      <x:c r="N7" s="145" t="str">
        <x:v>覆盖岸桥场桥车辆冷藏箱岸电储能建筑和电网</x:v>
      </x:c>
    </x:row>
    <x:row r="8" ht="25" customHeight="1">
      <x:c r="A8" s="145" t="str">
        <x:v>SHD-003</x:v>
      </x:c>
      <x:c r="B8" s="145" t="str">
        <x:v>baseline_challenger</x:v>
      </x:c>
      <x:c r="C8" s="145" t="str">
        <x:v>31</x:v>
      </x:c>
      <x:c r="D8" s="145" t="str">
        <x:v>45</x:v>
      </x:c>
      <x:c r="E8" s="145" t="str">
        <x:v>off_peak_operations</x:v>
      </x:c>
      <x:c r="F8" s="145" t="str">
        <x:v>REPLACE_WITH_SEASON_1</x:v>
      </x:c>
      <x:c r="G8" s="145" t="str">
        <x:v>现行规则模型预测控制和强化学习候选对照</x:v>
      </x:c>
      <x:c r="H8" s="145" t="str">
        <x:v>5000</x:v>
      </x:c>
      <x:c r="I8" s="145" t="str">
        <x:v>记录建议接受拒绝越权超时和人工否决</x:v>
      </x:c>
      <x:c r="J8" s="145" t="str">
        <x:v>REPLACE_WITH_MODEL_RISK_OWNER</x:v>
      </x:c>
      <x:c r="K8" s="145" t="str">
        <x:v>operations_owner</x:v>
      </x:c>
      <x:c r="L8" s="145" t="str">
        <x:v>not_started</x:v>
      </x:c>
      <x:c r="M8" s="145" t="str">
        <x:v>REPLACE_WITH_64_HEX_SHA256</x:v>
      </x:c>
      <x:c r="N8" s="145" t="str">
        <x:v>不向设备发指令</x:v>
      </x:c>
    </x:row>
    <x:row r="9" ht="25" customHeight="1">
      <x:c r="A9" s="145" t="str">
        <x:v>SHD-004</x:v>
      </x:c>
      <x:c r="B9" s="145" t="str">
        <x:v>equipment_fault</x:v>
      </x:c>
      <x:c r="C9" s="145" t="str">
        <x:v>46</x:v>
      </x:c>
      <x:c r="D9" s="145" t="str">
        <x:v>60</x:v>
      </x:c>
      <x:c r="E9" s="145" t="str">
        <x:v>equipment_failure</x:v>
      </x:c>
      <x:c r="F9" s="145" t="str">
        <x:v>REPLACE_WITH_SEASON_1</x:v>
      </x:c>
      <x:c r="G9" s="145" t="str">
        <x:v>设备掉线能力降额传感器异常和回执失败</x:v>
      </x:c>
      <x:c r="H9" s="145" t="str">
        <x:v>100</x:v>
      </x:c>
      <x:c r="I9" s="145" t="str">
        <x:v>超时降级人工接管和告警闭环</x:v>
      </x:c>
      <x:c r="J9" s="145" t="str">
        <x:v>REPLACE_WITH_OT_OWNER</x:v>
      </x:c>
      <x:c r="K9" s="145" t="str">
        <x:v>ot_safety_owner</x:v>
      </x:c>
      <x:c r="L9" s="145" t="str">
        <x:v>not_started</x:v>
      </x:c>
      <x:c r="M9" s="145" t="str">
        <x:v>REPLACE_WITH_64_HEX_SHA256</x:v>
      </x:c>
      <x:c r="N9" s="145" t="str">
        <x:v>使用获批故障注入</x:v>
      </x:c>
    </x:row>
    <x:row r="10" ht="25" customHeight="1">
      <x:c r="A10" s="145" t="str">
        <x:v>SHD-005</x:v>
      </x:c>
      <x:c r="B10" s="145" t="str">
        <x:v>weather_resilience</x:v>
      </x:c>
      <x:c r="C10" s="145" t="str">
        <x:v>61</x:v>
      </x:c>
      <x:c r="D10" s="145" t="str">
        <x:v>75</x:v>
      </x:c>
      <x:c r="E10" s="145" t="str">
        <x:v>extreme_weather</x:v>
      </x:c>
      <x:c r="F10" s="145" t="str">
        <x:v>REPLACE_WITH_SEASON_1</x:v>
      </x:c>
      <x:c r="G10" s="145" t="str">
        <x:v>高温暴雨大风或现场等效极端天气</x:v>
      </x:c>
      <x:c r="H10" s="145" t="str">
        <x:v>1000</x:v>
      </x:c>
      <x:c r="I10" s="145" t="str">
        <x:v>预测不确定度分布外检测和安全约束通过</x:v>
      </x:c>
      <x:c r="J10" s="145" t="str">
        <x:v>REPLACE_WITH_OPERATIONS_OWNER</x:v>
      </x:c>
      <x:c r="K10" s="145" t="str">
        <x:v>operations_owner</x:v>
      </x:c>
      <x:c r="L10" s="145" t="str">
        <x:v>not_started</x:v>
      </x:c>
      <x:c r="M10" s="145" t="str">
        <x:v>REPLACE_WITH_64_HEX_SHA256</x:v>
      </x:c>
      <x:c r="N10" s="145" t="str">
        <x:v>真实事件不足时使用经批准回放并清晰标识</x:v>
      </x:c>
    </x:row>
    <x:row r="11" ht="25" customHeight="1">
      <x:c r="A11" s="145" t="str">
        <x:v>SHD-006</x:v>
      </x:c>
      <x:c r="B11" s="145" t="str">
        <x:v>grid_constraint</x:v>
      </x:c>
      <x:c r="C11" s="145" t="str">
        <x:v>76</x:v>
      </x:c>
      <x:c r="D11" s="145" t="str">
        <x:v>90</x:v>
      </x:c>
      <x:c r="E11" s="145" t="str">
        <x:v>grid_derating</x:v>
      </x:c>
      <x:c r="F11" s="145" t="str">
        <x:v>REPLACE_WITH_SEASON_1</x:v>
      </x:c>
      <x:c r="G11" s="145" t="str">
        <x:v>电网限容母线馈线电压无功和储能约束</x:v>
      </x:c>
      <x:c r="H11" s="145" t="str">
        <x:v>1000</x:v>
      </x:c>
      <x:c r="I11" s="145" t="str">
        <x:v>N-1和降额条件无安全越界</x:v>
      </x:c>
      <x:c r="J11" s="145" t="str">
        <x:v>REPLACE_WITH_ELECTRICAL_OWNER</x:v>
      </x:c>
      <x:c r="K11" s="145" t="str">
        <x:v>ot_safety_owner</x:v>
      </x:c>
      <x:c r="L11" s="145" t="str">
        <x:v>not_started</x:v>
      </x:c>
      <x:c r="M11" s="145" t="str">
        <x:v>REPLACE_WITH_64_HEX_SHA256</x:v>
      </x:c>
      <x:c r="N11" s="145" t="str">
        <x:v>含储能质保约束</x:v>
      </x:c>
    </x:row>
    <x:row r="12" ht="25" customHeight="1">
      <x:c r="A12" s="145" t="str">
        <x:v>SHD-007</x:v>
      </x:c>
      <x:c r="B12" s="145" t="str">
        <x:v>season_transition</x:v>
      </x:c>
      <x:c r="C12" s="145" t="str">
        <x:v>91</x:v>
      </x:c>
      <x:c r="D12" s="145" t="str">
        <x:v>105</x:v>
      </x:c>
      <x:c r="E12" s="145" t="str">
        <x:v>peak_operations</x:v>
      </x:c>
      <x:c r="F12" s="145" t="str">
        <x:v>REPLACE_WITH_SEASON_2</x:v>
      </x:c>
      <x:c r="G12" s="145" t="str">
        <x:v>第二运营季节高峰跨季节性能</x:v>
      </x:c>
      <x:c r="H12" s="145" t="str">
        <x:v>10000</x:v>
      </x:c>
      <x:c r="I12" s="145" t="str">
        <x:v>冠军挑战者概率指标和计算时限满足策略</x:v>
      </x:c>
      <x:c r="J12" s="145" t="str">
        <x:v>REPLACE_WITH_MODEL_RISK_OWNER</x:v>
      </x:c>
      <x:c r="K12" s="145" t="str">
        <x:v>operations_owner</x:v>
      </x:c>
      <x:c r="L12" s="145" t="str">
        <x:v>not_started</x:v>
      </x:c>
      <x:c r="M12" s="145" t="str">
        <x:v>REPLACE_WITH_64_HEX_SHA256</x:v>
      </x:c>
      <x:c r="N12" s="145" t="str">
        <x:v>至少两个运营季节</x:v>
      </x:c>
    </x:row>
    <x:row r="13" ht="25" customHeight="1">
      <x:c r="A13" s="145" t="str">
        <x:v>SHD-008</x:v>
      </x:c>
      <x:c r="B13" s="145" t="str">
        <x:v>maintenance</x:v>
      </x:c>
      <x:c r="C13" s="145" t="str">
        <x:v>106</x:v>
      </x:c>
      <x:c r="D13" s="145" t="str">
        <x:v>120</x:v>
      </x:c>
      <x:c r="E13" s="145" t="str">
        <x:v>planned_maintenance</x:v>
      </x:c>
      <x:c r="F13" s="145" t="str">
        <x:v>REPLACE_WITH_SEASON_2</x:v>
      </x:c>
      <x:c r="G13" s="145" t="str">
        <x:v>计划检修设备隔离和替代运行方式</x:v>
      </x:c>
      <x:c r="H13" s="145" t="str">
        <x:v>100</x:v>
      </x:c>
      <x:c r="I13" s="145" t="str">
        <x:v>计划与实际状态一致且人工接管可用</x:v>
      </x:c>
      <x:c r="J13" s="145" t="str">
        <x:v>REPLACE_WITH_MAINTENANCE_OWNER</x:v>
      </x:c>
      <x:c r="K13" s="145" t="str">
        <x:v>ot_safety_owner</x:v>
      </x:c>
      <x:c r="L13" s="145" t="str">
        <x:v>not_started</x:v>
      </x:c>
      <x:c r="M13" s="145" t="str">
        <x:v>REPLACE_WITH_64_HEX_SHA256</x:v>
      </x:c>
      <x:c r="N13" s="145" t="str">
        <x:v>绑定检修工单</x:v>
      </x:c>
    </x:row>
    <x:row r="14" ht="25" customHeight="1">
      <x:c r="A14" s="145" t="str">
        <x:v>SHD-009</x:v>
      </x:c>
      <x:c r="B14" s="145" t="str">
        <x:v>cyber_and_identity</x:v>
      </x:c>
      <x:c r="C14" s="145" t="str">
        <x:v>121</x:v>
      </x:c>
      <x:c r="D14" s="145" t="str">
        <x:v>135</x:v>
      </x:c>
      <x:c r="E14" s="145" t="str">
        <x:v>off_peak_operations</x:v>
      </x:c>
      <x:c r="F14" s="145" t="str">
        <x:v>REPLACE_WITH_SEASON_2</x:v>
      </x:c>
      <x:c r="G14" s="145" t="str">
        <x:v>身份失效证书轮换消息重放和安全事件</x:v>
      </x:c>
      <x:c r="H14" s="145" t="str">
        <x:v>100</x:v>
      </x:c>
      <x:c r="I14" s="145" t="str">
        <x:v>多因素租户隔离审计链和安全事件演练通过</x:v>
      </x:c>
      <x:c r="J14" s="145" t="str">
        <x:v>REPLACE_WITH_CISO_OWNER</x:v>
      </x:c>
      <x:c r="K14" s="145" t="str">
        <x:v>chief_information_security_officer</x:v>
      </x:c>
      <x:c r="L14" s="145" t="str">
        <x:v>not_started</x:v>
      </x:c>
      <x:c r="M14" s="145" t="str">
        <x:v>REPLACE_WITH_64_HEX_SHA256</x:v>
      </x:c>
      <x:c r="N14" s="145" t="str">
        <x:v>不测试联锁绕过</x:v>
      </x:c>
    </x:row>
    <x:row r="15" ht="25" customHeight="1">
      <x:c r="A15" s="145" t="str">
        <x:v>SHD-010</x:v>
      </x:c>
      <x:c r="B15" s="145" t="str">
        <x:v>ha_and_dr</x:v>
      </x:c>
      <x:c r="C15" s="145" t="str">
        <x:v>136</x:v>
      </x:c>
      <x:c r="D15" s="145" t="str">
        <x:v>150</x:v>
      </x:c>
      <x:c r="E15" s="145" t="str">
        <x:v>equipment_failure</x:v>
      </x:c>
      <x:c r="F15" s="145" t="str">
        <x:v>REPLACE_WITH_SEASON_2</x:v>
      </x:c>
      <x:c r="G15" s="145" t="str">
        <x:v>消息时序数据库应用主备和灾备恢复</x:v>
      </x:c>
      <x:c r="H15" s="145" t="str">
        <x:v>10</x:v>
      </x:c>
      <x:c r="I15" s="145" t="str">
        <x:v>恢复点与恢复时间目标满足策略且证据不可改写</x:v>
      </x:c>
      <x:c r="J15" s="145" t="str">
        <x:v>REPLACE_WITH_IT_OWNER</x:v>
      </x:c>
      <x:c r="K15" s="145" t="str">
        <x:v>chief_information_security_officer</x:v>
      </x:c>
      <x:c r="L15" s="145" t="str">
        <x:v>not_started</x:v>
      </x:c>
      <x:c r="M15" s="145" t="str">
        <x:v>REPLACE_WITH_64_HEX_SHA256</x:v>
      </x:c>
      <x:c r="N15" s="145" t="str">
        <x:v>记录丢失重复和恢复顺序</x:v>
      </x:c>
    </x:row>
    <x:row r="16" ht="25" customHeight="1">
      <x:c r="A16" s="145" t="str">
        <x:v>SHD-011</x:v>
      </x:c>
      <x:c r="B16" s="145" t="str">
        <x:v>rollback_and_takeover</x:v>
      </x:c>
      <x:c r="C16" s="145" t="str">
        <x:v>151</x:v>
      </x:c>
      <x:c r="D16" s="145" t="str">
        <x:v>165</x:v>
      </x:c>
      <x:c r="E16" s="145" t="str">
        <x:v>grid_derating</x:v>
      </x:c>
      <x:c r="F16" s="145" t="str">
        <x:v>REPLACE_WITH_SEASON_2</x:v>
      </x:c>
      <x:c r="G16" s="145" t="str">
        <x:v>人工接管外部网关停用和发布回滚</x:v>
      </x:c>
      <x:c r="H16" s="145" t="str">
        <x:v>10</x:v>
      </x:c>
      <x:c r="I16" s="145" t="str">
        <x:v>回滚不超过30分钟且所有设备最终回执闭环</x:v>
      </x:c>
      <x:c r="J16" s="145" t="str">
        <x:v>REPLACE_WITH_CHANGE_MANAGER</x:v>
      </x:c>
      <x:c r="K16" s="145" t="str">
        <x:v>port_owner</x:v>
      </x:c>
      <x:c r="L16" s="145" t="str">
        <x:v>not_started</x:v>
      </x:c>
      <x:c r="M16" s="145" t="str">
        <x:v>REPLACE_WITH_64_HEX_SHA256</x:v>
      </x:c>
      <x:c r="N16" s="145" t="str">
        <x:v>现场演练需审批和安全监护</x:v>
      </x:c>
    </x:row>
    <x:row r="17" ht="25" customHeight="1">
      <x:c r="A17" s="146" t="str">
        <x:v>SHD-012</x:v>
      </x:c>
      <x:c r="B17" s="146" t="str">
        <x:v>final_reconciliation</x:v>
      </x:c>
      <x:c r="C17" s="146" t="str">
        <x:v>166</x:v>
      </x:c>
      <x:c r="D17" s="146" t="str">
        <x:v>180</x:v>
      </x:c>
      <x:c r="E17" s="146" t="str">
        <x:v>planned_maintenance</x:v>
      </x:c>
      <x:c r="F17" s="146" t="str">
        <x:v>REPLACE_WITH_SEASON_2</x:v>
      </x:c>
      <x:c r="G17" s="146" t="str">
        <x:v>关闭例外复算十三域与十六门禁并冻结完整包</x:v>
      </x:c>
      <x:c r="H17" s="146" t="str">
        <x:v>1</x:v>
      </x:c>
      <x:c r="I17" s="146" t="str">
        <x:v>无一级二级缺陷无开放例外并完成独立量测验证</x:v>
      </x:c>
      <x:c r="J17" s="146" t="str">
        <x:v>REPLACE_WITH_INDEPENDENT_VERIFIER</x:v>
      </x:c>
      <x:c r="K17" s="146" t="str">
        <x:v>independent_verifier</x:v>
      </x:c>
      <x:c r="L17" s="146" t="str">
        <x:v>not_started</x:v>
      </x:c>
      <x:c r="M17" s="146" t="str">
        <x:v>REPLACE_WITH_64_HEX_SHA256</x:v>
      </x:c>
      <x:c r="N17" s="146" t="str">
        <x:v>六方签字前禁止替换附件</x:v>
      </x:c>
    </x:row>
  </x:sheetData>
  <x:mergeCells>
    <x:mergeCell ref="A1:N1"/>
    <x:mergeCell ref="A2:N2"/>
  </x:mergeCells>
  <x:conditionalFormatting sqref="A6:N17">
    <x:cfRule type="containsText" dxfId="29" priority="1" operator="containsText" text="REPLACE_WITH"/>
  </x:conditionalFormatting>
  <x:conditionalFormatting sqref="L6:L17">
    <x:cfRule type="containsText" dxfId="30" priority="2" operator="containsText" text="accepted"/>
    <x:cfRule type="containsText" dxfId="31" priority="3" operator="containsText" text="approved"/>
    <x:cfRule type="containsText" dxfId="32" priority="4" operator="containsText" text="passed"/>
    <x:cfRule type="containsText" dxfId="33" priority="5" operator="containsText" text="not_started"/>
    <x:cfRule type="containsText" dxfId="34" priority="6" operator="containsText" text="blocked"/>
    <x:cfRule type="containsText" dxfId="35" priority="7" operator="containsText" text="rejected"/>
  </x:conditionalFormatting>
  <x:dataValidations count="1">
    <x:dataValidation type="list" sqref="L6:L17">
      <x:formula1>"not_started,running,accepted,rejected"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f3f374eef646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25" hidden="0" customWidth="1"/>
    <x:col min="2" max="2" width="25" hidden="0" customWidth="1"/>
    <x:col min="3" max="3" width="15.75" hidden="0" customWidth="1"/>
    <x:col min="4" max="4" width="25" hidden="0" customWidth="1"/>
    <x:col min="5" max="5" width="38" hidden="0" customWidth="1"/>
    <x:col min="6" max="6" width="28.25" hidden="0" customWidth="1"/>
    <x:col min="7" max="7" width="29.5" hidden="0" customWidth="1"/>
    <x:col min="8" max="8" width="34.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3.25" hidden="0" customWidth="1"/>
    <x:col min="15" max="15" width="38" hidden="0" customWidth="1"/>
    <x:col min="16" max="16" width="25" hidden="0" customWidth="1"/>
    <x:col min="17" max="17" width="25" hidden="0" customWidth="1"/>
    <x:col min="18" max="18" width="34.5" hidden="0" customWidth="1"/>
    <x:col min="19" max="19" width="25" hidden="0" customWidth="1"/>
    <x:col min="20" max="20" width="25" hidden="0" customWidth="1"/>
    <x:col min="21" max="21" width="38" hidden="0" customWidth="1"/>
    <x:col min="22" max="22" width="15.75" hidden="0" customWidth="1"/>
    <x:col min="23" max="23" width="34.5" hidden="0" customWidth="1"/>
  </x:cols>
  <x:sheetData>
    <x:row r="1" ht="34" customHeight="1">
      <x:c r="A1" s="3" t="str">
        <x:v>十三域现场验收登记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0" customHeight="1">
      <x:c r="A2" s="7" t="str">
        <x:v>每个域必须绑定同一站点、租户、窗口和截止点，由独立责任方接受、无开放例外并提供有效签名。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3" ht="25" customHeight="1">
      <x:c r="A3" s="147" t="str">
        <x:v>已接受</x:v>
      </x:c>
      <x:c r="B3" s="148" t="n">
        <x:f>COUNTIF(V6:V18,"accepted")</x:f>
        <x:v>0</x:v>
      </x:c>
      <x:c r="C3" s="148" t="str">
        <x:v>总数</x:v>
      </x:c>
      <x:c r="D3" s="148" t="n">
        <x:f>COUNTA(A6:A18)</x:f>
        <x:v>13</x:v>
      </x:c>
      <x:c r="E3" s="148" t="str">
        <x:v>完成率</x:v>
      </x:c>
      <x:c r="F3" s="149" t="n">
        <x:f>IF(D3=0,0,B3/D3)</x:f>
        <x:v>0</x:v>
      </x:c>
      <x:c r="G3" s="148" t="str">
        <x:v>现场状态</x:v>
      </x:c>
      <x:c r="H3" s="150" t="str">
        <x:f>IF(F3=1,"完整","待补齐")</x:f>
        <x:v>待补齐</x:v>
      </x:c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</x:row>
    <x:row r="4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</x:row>
    <x:row r="5" ht="36" customHeight="1">
      <x:c r="A5" s="134" t="str">
        <x:v>domain_id</x:v>
      </x:c>
      <x:c r="B5" s="135" t="str">
        <x:v>domain</x:v>
      </x:c>
      <x:c r="C5" s="135" t="str">
        <x:v>domain_name</x:v>
      </x:c>
      <x:c r="D5" s="135" t="str">
        <x:v>owner_role</x:v>
      </x:c>
      <x:c r="E5" s="135" t="str">
        <x:v>owner_system</x:v>
      </x:c>
      <x:c r="F5" s="135" t="str">
        <x:v>report_schema_version</x:v>
      </x:c>
      <x:c r="G5" s="135" t="str">
        <x:v>report_id</x:v>
      </x:c>
      <x:c r="H5" s="135" t="str">
        <x:v>report_status</x:v>
      </x:c>
      <x:c r="I5" s="135" t="str">
        <x:v>site_id</x:v>
      </x:c>
      <x:c r="J5" s="135" t="str">
        <x:v>tenant_id</x:v>
      </x:c>
      <x:c r="K5" s="135" t="str">
        <x:v>assessment_window_id</x:v>
      </x:c>
      <x:c r="L5" s="135" t="str">
        <x:v>data_cutoff_at</x:v>
      </x:c>
      <x:c r="M5" s="135" t="str">
        <x:v>observed_at</x:v>
      </x:c>
      <x:c r="N5" s="135" t="str">
        <x:v>source_mode</x:v>
      </x:c>
      <x:c r="O5" s="135" t="str">
        <x:v>source_record_ids</x:v>
      </x:c>
      <x:c r="P5" s="135" t="str">
        <x:v>independently_verified</x:v>
      </x:c>
      <x:c r="Q5" s="135" t="str">
        <x:v>acceptance_conclusion</x:v>
      </x:c>
      <x:c r="R5" s="135" t="str">
        <x:v>exception_ids</x:v>
      </x:c>
      <x:c r="S5" s="135" t="str">
        <x:v>key_id</x:v>
      </x:c>
      <x:c r="T5" s="135" t="str">
        <x:v>signed_payload_sha256</x:v>
      </x:c>
      <x:c r="U5" s="135" t="str">
        <x:v>signature</x:v>
      </x:c>
      <x:c r="V5" s="135" t="str">
        <x:v>status</x:v>
      </x:c>
      <x:c r="W5" s="136" t="str">
        <x:v>notes</x:v>
      </x:c>
    </x:row>
    <x:row r="6" ht="25" customHeight="1">
      <x:c r="A6" s="144" t="str">
        <x:v>DOM-001</x:v>
      </x:c>
      <x:c r="B6" s="144" t="str">
        <x:v>live_port_data</x:v>
      </x:c>
      <x:c r="C6" s="144" t="str">
        <x:v>实港实时数据闭环</x:v>
      </x:c>
      <x:c r="D6" s="144" t="str">
        <x:v>data_owner</x:v>
      </x:c>
      <x:c r="E6" s="144" t="str">
        <x:v>REPLACE_WITH_DATA_PLATFORM</x:v>
      </x:c>
      <x:c r="F6" s="144" t="str">
        <x:v>REPLACE_WITH_SCHEMA</x:v>
      </x:c>
      <x:c r="G6" s="144" t="str">
        <x:v>REPLACE_WITH_REPORT_ID</x:v>
      </x:c>
      <x:c r="H6" s="144" t="str">
        <x:v>REPLACE_WITH_REPORT_STATUS</x:v>
      </x:c>
      <x:c r="I6" s="144" t="str">
        <x:v>REPLACE_WITH_SITE_ID</x:v>
      </x:c>
      <x:c r="J6" s="144" t="str">
        <x:v>REPLACE_WITH_TENANT_ID</x:v>
      </x:c>
      <x:c r="K6" s="144" t="str">
        <x:v>REPLACE_WITH_WINDOW_ID</x:v>
      </x:c>
      <x:c r="L6" s="144" t="str">
        <x:v>REPLACE_WITH_TIMEZONE_AWARE_ISO8601</x:v>
      </x:c>
      <x:c r="M6" s="144" t="str">
        <x:v>REPLACE_WITH_TIMEZONE_AWARE_ISO8601</x:v>
      </x:c>
      <x:c r="N6" s="144" t="str">
        <x:v>production_shadow</x:v>
      </x:c>
      <x:c r="O6" s="144" t="str">
        <x:v>REPLACE_WITH_SOURCE_RECORD_IDS</x:v>
      </x:c>
      <x:c r="P6" s="144" t="str">
        <x:v>false</x:v>
      </x:c>
      <x:c r="Q6" s="144" t="str">
        <x:v>rejected</x:v>
      </x:c>
      <x:c r="R6" s="144" t="str">
        <x:v>REPLACE_WITH_EXCEPTION_IDS</x:v>
      </x:c>
      <x:c r="S6" s="144" t="str">
        <x:v>REPLACE_WITH_KEY_ID</x:v>
      </x:c>
      <x:c r="T6" s="144" t="str">
        <x:v>REPLACE_WITH_64_HEX_SHA256</x:v>
      </x:c>
      <x:c r="U6" s="144" t="str">
        <x:v>REPLACE_WITH_BASE64_SIGNATURE</x:v>
      </x:c>
      <x:c r="V6" s="144" t="str">
        <x:v>not_started</x:v>
      </x:c>
      <x:c r="W6" s="144" t="str">
        <x:v>六类实时适配器</x:v>
      </x:c>
    </x:row>
    <x:row r="7" ht="25" customHeight="1">
      <x:c r="A7" s="145" t="str">
        <x:v>DOM-002</x:v>
      </x:c>
      <x:c r="B7" s="145" t="str">
        <x:v>measurement_and_calibration</x:v>
      </x:c>
      <x:c r="C7" s="145" t="str">
        <x:v>现场计量与模型标定</x:v>
      </x:c>
      <x:c r="D7" s="145" t="str">
        <x:v>energy_carbon_owner</x:v>
      </x:c>
      <x:c r="E7" s="145" t="str">
        <x:v>REPLACE_WITH_METERING_SYSTEM</x:v>
      </x:c>
      <x:c r="F7" s="145" t="str">
        <x:v>REPLACE_WITH_SCHEMA</x:v>
      </x:c>
      <x:c r="G7" s="145" t="str">
        <x:v>REPLACE_WITH_REPORT_ID</x:v>
      </x:c>
      <x:c r="H7" s="145" t="str">
        <x:v>REPLACE_WITH_REPORT_STATUS</x:v>
      </x:c>
      <x:c r="I7" s="145" t="str">
        <x:v>REPLACE_WITH_SITE_ID</x:v>
      </x:c>
      <x:c r="J7" s="145" t="str">
        <x:v>REPLACE_WITH_TENANT_ID</x:v>
      </x:c>
      <x:c r="K7" s="145" t="str">
        <x:v>REPLACE_WITH_WINDOW_ID</x:v>
      </x:c>
      <x:c r="L7" s="145" t="str">
        <x:v>REPLACE_WITH_TIMEZONE_AWARE_ISO8601</x:v>
      </x:c>
      <x:c r="M7" s="145" t="str">
        <x:v>REPLACE_WITH_TIMEZONE_AWARE_ISO8601</x:v>
      </x:c>
      <x:c r="N7" s="145" t="str">
        <x:v>live_site</x:v>
      </x:c>
      <x:c r="O7" s="145" t="str">
        <x:v>REPLACE_WITH_SOURCE_RECORD_IDS</x:v>
      </x:c>
      <x:c r="P7" s="145" t="str">
        <x:v>false</x:v>
      </x:c>
      <x:c r="Q7" s="145" t="str">
        <x:v>rejected</x:v>
      </x:c>
      <x:c r="R7" s="145" t="str">
        <x:v>REPLACE_WITH_EXCEPTION_IDS</x:v>
      </x:c>
      <x:c r="S7" s="145" t="str">
        <x:v>REPLACE_WITH_KEY_ID</x:v>
      </x:c>
      <x:c r="T7" s="145" t="str">
        <x:v>REPLACE_WITH_64_HEX_SHA256</x:v>
      </x:c>
      <x:c r="U7" s="145" t="str">
        <x:v>REPLACE_WITH_BASE64_SIGNATURE</x:v>
      </x:c>
      <x:c r="V7" s="145" t="str">
        <x:v>not_started</x:v>
      </x:c>
      <x:c r="W7" s="145" t="str">
        <x:v>分路计量校准与三方对账</x:v>
      </x:c>
    </x:row>
    <x:row r="8" ht="25" customHeight="1">
      <x:c r="A8" s="145" t="str">
        <x:v>DOM-003</x:v>
      </x:c>
      <x:c r="B8" s="145" t="str">
        <x:v>production_execution</x:v>
      </x:c>
      <x:c r="C8" s="145" t="str">
        <x:v>生产执行通道</x:v>
      </x:c>
      <x:c r="D8" s="145" t="str">
        <x:v>ot_safety_owner</x:v>
      </x:c>
      <x:c r="E8" s="145" t="str">
        <x:v>REPLACE_WITH_EXTERNAL_GATEWAY</x:v>
      </x:c>
      <x:c r="F8" s="145" t="str">
        <x:v>REPLACE_WITH_SCHEMA</x:v>
      </x:c>
      <x:c r="G8" s="145" t="str">
        <x:v>REPLACE_WITH_REPORT_ID</x:v>
      </x:c>
      <x:c r="H8" s="145" t="str">
        <x:v>REPLACE_WITH_REPORT_STATUS</x:v>
      </x:c>
      <x:c r="I8" s="145" t="str">
        <x:v>REPLACE_WITH_SITE_ID</x:v>
      </x:c>
      <x:c r="J8" s="145" t="str">
        <x:v>REPLACE_WITH_TENANT_ID</x:v>
      </x:c>
      <x:c r="K8" s="145" t="str">
        <x:v>REPLACE_WITH_WINDOW_ID</x:v>
      </x:c>
      <x:c r="L8" s="145" t="str">
        <x:v>REPLACE_WITH_TIMEZONE_AWARE_ISO8601</x:v>
      </x:c>
      <x:c r="M8" s="145" t="str">
        <x:v>REPLACE_WITH_TIMEZONE_AWARE_ISO8601</x:v>
      </x:c>
      <x:c r="N8" s="145" t="str">
        <x:v>live_site</x:v>
      </x:c>
      <x:c r="O8" s="145" t="str">
        <x:v>REPLACE_WITH_SOURCE_RECORD_IDS</x:v>
      </x:c>
      <x:c r="P8" s="145" t="str">
        <x:v>false</x:v>
      </x:c>
      <x:c r="Q8" s="145" t="str">
        <x:v>rejected</x:v>
      </x:c>
      <x:c r="R8" s="145" t="str">
        <x:v>REPLACE_WITH_EXCEPTION_IDS</x:v>
      </x:c>
      <x:c r="S8" s="145" t="str">
        <x:v>REPLACE_WITH_KEY_ID</x:v>
      </x:c>
      <x:c r="T8" s="145" t="str">
        <x:v>REPLACE_WITH_64_HEX_SHA256</x:v>
      </x:c>
      <x:c r="U8" s="145" t="str">
        <x:v>REPLACE_WITH_BASE64_SIGNATURE</x:v>
      </x:c>
      <x:c r="V8" s="145" t="str">
        <x:v>not_started</x:v>
      </x:c>
      <x:c r="W8" s="145" t="str">
        <x:v>外部网关联锁与设备回执</x:v>
      </x:c>
    </x:row>
    <x:row r="9" ht="25" customHeight="1">
      <x:c r="A9" s="145" t="str">
        <x:v>DOM-004</x:v>
      </x:c>
      <x:c r="B9" s="145" t="str">
        <x:v>long_horizon_shadow</x:v>
      </x:c>
      <x:c r="C9" s="145" t="str">
        <x:v>长周期影子验证</x:v>
      </x:c>
      <x:c r="D9" s="145" t="str">
        <x:v>operations_owner</x:v>
      </x:c>
      <x:c r="E9" s="145" t="str">
        <x:v>REPLACE_WITH_SHADOW_PLATFORM</x:v>
      </x:c>
      <x:c r="F9" s="145" t="str">
        <x:v>REPLACE_WITH_SCHEMA</x:v>
      </x:c>
      <x:c r="G9" s="145" t="str">
        <x:v>REPLACE_WITH_REPORT_ID</x:v>
      </x:c>
      <x:c r="H9" s="145" t="str">
        <x:v>REPLACE_WITH_REPORT_STATUS</x:v>
      </x:c>
      <x:c r="I9" s="145" t="str">
        <x:v>REPLACE_WITH_SITE_ID</x:v>
      </x:c>
      <x:c r="J9" s="145" t="str">
        <x:v>REPLACE_WITH_TENANT_ID</x:v>
      </x:c>
      <x:c r="K9" s="145" t="str">
        <x:v>REPLACE_WITH_WINDOW_ID</x:v>
      </x:c>
      <x:c r="L9" s="145" t="str">
        <x:v>REPLACE_WITH_TIMEZONE_AWARE_ISO8601</x:v>
      </x:c>
      <x:c r="M9" s="145" t="str">
        <x:v>REPLACE_WITH_TIMEZONE_AWARE_ISO8601</x:v>
      </x:c>
      <x:c r="N9" s="145" t="str">
        <x:v>production_shadow</x:v>
      </x:c>
      <x:c r="O9" s="145" t="str">
        <x:v>REPLACE_WITH_SOURCE_RECORD_IDS</x:v>
      </x:c>
      <x:c r="P9" s="145" t="str">
        <x:v>false</x:v>
      </x:c>
      <x:c r="Q9" s="145" t="str">
        <x:v>rejected</x:v>
      </x:c>
      <x:c r="R9" s="145" t="str">
        <x:v>REPLACE_WITH_EXCEPTION_IDS</x:v>
      </x:c>
      <x:c r="S9" s="145" t="str">
        <x:v>REPLACE_WITH_KEY_ID</x:v>
      </x:c>
      <x:c r="T9" s="145" t="str">
        <x:v>REPLACE_WITH_64_HEX_SHA256</x:v>
      </x:c>
      <x:c r="U9" s="145" t="str">
        <x:v>REPLACE_WITH_BASE64_SIGNATURE</x:v>
      </x:c>
      <x:c r="V9" s="145" t="str">
        <x:v>not_started</x:v>
      </x:c>
      <x:c r="W9" s="145" t="str">
        <x:v>至少180天与六类场景</x:v>
      </x:c>
    </x:row>
    <x:row r="10" ht="25" customHeight="1">
      <x:c r="A10" s="145" t="str">
        <x:v>DOM-005</x:v>
      </x:c>
      <x:c r="B10" s="145" t="str">
        <x:v>port_emissions_inventory</x:v>
      </x:c>
      <x:c r="C10" s="145" t="str">
        <x:v>港口级完整碳清单</x:v>
      </x:c>
      <x:c r="D10" s="145" t="str">
        <x:v>energy_carbon_owner</x:v>
      </x:c>
      <x:c r="E10" s="145" t="str">
        <x:v>REPLACE_WITH_CARBON_LEDGER</x:v>
      </x:c>
      <x:c r="F10" s="145" t="str">
        <x:v>REPLACE_WITH_SCHEMA</x:v>
      </x:c>
      <x:c r="G10" s="145" t="str">
        <x:v>REPLACE_WITH_REPORT_ID</x:v>
      </x:c>
      <x:c r="H10" s="145" t="str">
        <x:v>REPLACE_WITH_REPORT_STATUS</x:v>
      </x:c>
      <x:c r="I10" s="145" t="str">
        <x:v>REPLACE_WITH_SITE_ID</x:v>
      </x:c>
      <x:c r="J10" s="145" t="str">
        <x:v>REPLACE_WITH_TENANT_ID</x:v>
      </x:c>
      <x:c r="K10" s="145" t="str">
        <x:v>REPLACE_WITH_WINDOW_ID</x:v>
      </x:c>
      <x:c r="L10" s="145" t="str">
        <x:v>REPLACE_WITH_TIMEZONE_AWARE_ISO8601</x:v>
      </x:c>
      <x:c r="M10" s="145" t="str">
        <x:v>REPLACE_WITH_TIMEZONE_AWARE_ISO8601</x:v>
      </x:c>
      <x:c r="N10" s="145" t="str">
        <x:v>live_site</x:v>
      </x:c>
      <x:c r="O10" s="145" t="str">
        <x:v>REPLACE_WITH_SOURCE_RECORD_IDS</x:v>
      </x:c>
      <x:c r="P10" s="145" t="str">
        <x:v>false</x:v>
      </x:c>
      <x:c r="Q10" s="145" t="str">
        <x:v>rejected</x:v>
      </x:c>
      <x:c r="R10" s="145" t="str">
        <x:v>REPLACE_WITH_EXCEPTION_IDS</x:v>
      </x:c>
      <x:c r="S10" s="145" t="str">
        <x:v>REPLACE_WITH_KEY_ID</x:v>
      </x:c>
      <x:c r="T10" s="145" t="str">
        <x:v>REPLACE_WITH_64_HEX_SHA256</x:v>
      </x:c>
      <x:c r="U10" s="145" t="str">
        <x:v>REPLACE_WITH_BASE64_SIGNATURE</x:v>
      </x:c>
      <x:c r="V10" s="145" t="str">
        <x:v>not_started</x:v>
      </x:c>
      <x:c r="W10" s="145" t="str">
        <x:v>范围一二三与空气污染物</x:v>
      </x:c>
    </x:row>
    <x:row r="11" ht="25" customHeight="1">
      <x:c r="A11" s="145" t="str">
        <x:v>DOM-006</x:v>
      </x:c>
      <x:c r="B11" s="145" t="str">
        <x:v>energy_carbon_management</x:v>
      </x:c>
      <x:c r="C11" s="145" t="str">
        <x:v>可审计能源与碳管理体系</x:v>
      </x:c>
      <x:c r="D11" s="145" t="str">
        <x:v>energy_carbon_owner</x:v>
      </x:c>
      <x:c r="E11" s="145" t="str">
        <x:v>REPLACE_WITH_ENMS</x:v>
      </x:c>
      <x:c r="F11" s="145" t="str">
        <x:v>REPLACE_WITH_SCHEMA</x:v>
      </x:c>
      <x:c r="G11" s="145" t="str">
        <x:v>REPLACE_WITH_REPORT_ID</x:v>
      </x:c>
      <x:c r="H11" s="145" t="str">
        <x:v>REPLACE_WITH_REPORT_STATUS</x:v>
      </x:c>
      <x:c r="I11" s="145" t="str">
        <x:v>REPLACE_WITH_SITE_ID</x:v>
      </x:c>
      <x:c r="J11" s="145" t="str">
        <x:v>REPLACE_WITH_TENANT_ID</x:v>
      </x:c>
      <x:c r="K11" s="145" t="str">
        <x:v>REPLACE_WITH_WINDOW_ID</x:v>
      </x:c>
      <x:c r="L11" s="145" t="str">
        <x:v>REPLACE_WITH_TIMEZONE_AWARE_ISO8601</x:v>
      </x:c>
      <x:c r="M11" s="145" t="str">
        <x:v>REPLACE_WITH_TIMEZONE_AWARE_ISO8601</x:v>
      </x:c>
      <x:c r="N11" s="145" t="str">
        <x:v>live_site</x:v>
      </x:c>
      <x:c r="O11" s="145" t="str">
        <x:v>REPLACE_WITH_SOURCE_RECORD_IDS</x:v>
      </x:c>
      <x:c r="P11" s="145" t="str">
        <x:v>false</x:v>
      </x:c>
      <x:c r="Q11" s="145" t="str">
        <x:v>rejected</x:v>
      </x:c>
      <x:c r="R11" s="145" t="str">
        <x:v>REPLACE_WITH_EXCEPTION_IDS</x:v>
      </x:c>
      <x:c r="S11" s="145" t="str">
        <x:v>REPLACE_WITH_KEY_ID</x:v>
      </x:c>
      <x:c r="T11" s="145" t="str">
        <x:v>REPLACE_WITH_64_HEX_SHA256</x:v>
      </x:c>
      <x:c r="U11" s="145" t="str">
        <x:v>REPLACE_WITH_BASE64_SIGNATURE</x:v>
      </x:c>
      <x:c r="V11" s="145" t="str">
        <x:v>not_started</x:v>
      </x:c>
      <x:c r="W11" s="145" t="str">
        <x:v>能源基准绩效目标纠正和管理评审</x:v>
      </x:c>
    </x:row>
    <x:row r="12" ht="25" customHeight="1">
      <x:c r="A12" s="145" t="str">
        <x:v>DOM-007</x:v>
      </x:c>
      <x:c r="B12" s="145" t="str">
        <x:v>operations_energy_coupling</x:v>
      </x:c>
      <x:c r="C12" s="145" t="str">
        <x:v>业务与能量细粒度耦合</x:v>
      </x:c>
      <x:c r="D12" s="145" t="str">
        <x:v>operations_owner</x:v>
      </x:c>
      <x:c r="E12" s="145" t="str">
        <x:v>REPLACE_WITH_PLANNING_PLATFORM</x:v>
      </x:c>
      <x:c r="F12" s="145" t="str">
        <x:v>REPLACE_WITH_SCHEMA</x:v>
      </x:c>
      <x:c r="G12" s="145" t="str">
        <x:v>REPLACE_WITH_REPORT_ID</x:v>
      </x:c>
      <x:c r="H12" s="145" t="str">
        <x:v>REPLACE_WITH_REPORT_STATUS</x:v>
      </x:c>
      <x:c r="I12" s="145" t="str">
        <x:v>REPLACE_WITH_SITE_ID</x:v>
      </x:c>
      <x:c r="J12" s="145" t="str">
        <x:v>REPLACE_WITH_TENANT_ID</x:v>
      </x:c>
      <x:c r="K12" s="145" t="str">
        <x:v>REPLACE_WITH_WINDOW_ID</x:v>
      </x:c>
      <x:c r="L12" s="145" t="str">
        <x:v>REPLACE_WITH_TIMEZONE_AWARE_ISO8601</x:v>
      </x:c>
      <x:c r="M12" s="145" t="str">
        <x:v>REPLACE_WITH_TIMEZONE_AWARE_ISO8601</x:v>
      </x:c>
      <x:c r="N12" s="145" t="str">
        <x:v>production_shadow</x:v>
      </x:c>
      <x:c r="O12" s="145" t="str">
        <x:v>REPLACE_WITH_SOURCE_RECORD_IDS</x:v>
      </x:c>
      <x:c r="P12" s="145" t="str">
        <x:v>false</x:v>
      </x:c>
      <x:c r="Q12" s="145" t="str">
        <x:v>rejected</x:v>
      </x:c>
      <x:c r="R12" s="145" t="str">
        <x:v>REPLACE_WITH_EXCEPTION_IDS</x:v>
      </x:c>
      <x:c r="S12" s="145" t="str">
        <x:v>REPLACE_WITH_KEY_ID</x:v>
      </x:c>
      <x:c r="T12" s="145" t="str">
        <x:v>REPLACE_WITH_64_HEX_SHA256</x:v>
      </x:c>
      <x:c r="U12" s="145" t="str">
        <x:v>REPLACE_WITH_BASE64_SIGNATURE</x:v>
      </x:c>
      <x:c r="V12" s="145" t="str">
        <x:v>not_started</x:v>
      </x:c>
      <x:c r="W12" s="145" t="str">
        <x:v>八源联合计划</x:v>
      </x:c>
    </x:row>
    <x:row r="13" ht="25" customHeight="1">
      <x:c r="A13" s="145" t="str">
        <x:v>DOM-008</x:v>
      </x:c>
      <x:c r="B13" s="145" t="str">
        <x:v>electrical_network</x:v>
      </x:c>
      <x:c r="C13" s="145" t="str">
        <x:v>电力系统模型深度</x:v>
      </x:c>
      <x:c r="D13" s="145" t="str">
        <x:v>ot_safety_owner</x:v>
      </x:c>
      <x:c r="E13" s="145" t="str">
        <x:v>REPLACE_WITH_ELECTRICAL_DT</x:v>
      </x:c>
      <x:c r="F13" s="145" t="str">
        <x:v>REPLACE_WITH_SCHEMA</x:v>
      </x:c>
      <x:c r="G13" s="145" t="str">
        <x:v>REPLACE_WITH_REPORT_ID</x:v>
      </x:c>
      <x:c r="H13" s="145" t="str">
        <x:v>REPLACE_WITH_REPORT_STATUS</x:v>
      </x:c>
      <x:c r="I13" s="145" t="str">
        <x:v>REPLACE_WITH_SITE_ID</x:v>
      </x:c>
      <x:c r="J13" s="145" t="str">
        <x:v>REPLACE_WITH_TENANT_ID</x:v>
      </x:c>
      <x:c r="K13" s="145" t="str">
        <x:v>REPLACE_WITH_WINDOW_ID</x:v>
      </x:c>
      <x:c r="L13" s="145" t="str">
        <x:v>REPLACE_WITH_TIMEZONE_AWARE_ISO8601</x:v>
      </x:c>
      <x:c r="M13" s="145" t="str">
        <x:v>REPLACE_WITH_TIMEZONE_AWARE_ISO8601</x:v>
      </x:c>
      <x:c r="N13" s="145" t="str">
        <x:v>production_shadow</x:v>
      </x:c>
      <x:c r="O13" s="145" t="str">
        <x:v>REPLACE_WITH_SOURCE_RECORD_IDS</x:v>
      </x:c>
      <x:c r="P13" s="145" t="str">
        <x:v>false</x:v>
      </x:c>
      <x:c r="Q13" s="145" t="str">
        <x:v>rejected</x:v>
      </x:c>
      <x:c r="R13" s="145" t="str">
        <x:v>REPLACE_WITH_EXCEPTION_IDS</x:v>
      </x:c>
      <x:c r="S13" s="145" t="str">
        <x:v>REPLACE_WITH_KEY_ID</x:v>
      </x:c>
      <x:c r="T13" s="145" t="str">
        <x:v>REPLACE_WITH_64_HEX_SHA256</x:v>
      </x:c>
      <x:c r="U13" s="145" t="str">
        <x:v>REPLACE_WITH_BASE64_SIGNATURE</x:v>
      </x:c>
      <x:c r="V13" s="145" t="str">
        <x:v>not_started</x:v>
      </x:c>
      <x:c r="W13" s="145" t="str">
        <x:v>拓扑潮流N-1孤岛和电能质量</x:v>
      </x:c>
    </x:row>
    <x:row r="14" ht="25" customHeight="1">
      <x:c r="A14" s="145" t="str">
        <x:v>DOM-009</x:v>
      </x:c>
      <x:c r="B14" s="145" t="str">
        <x:v>algorithm_production</x:v>
      </x:c>
      <x:c r="C14" s="145" t="str">
        <x:v>算法生产证据</x:v>
      </x:c>
      <x:c r="D14" s="145" t="str">
        <x:v>independent_verifier</x:v>
      </x:c>
      <x:c r="E14" s="145" t="str">
        <x:v>REPLACE_WITH_MODEL_REGISTRY</x:v>
      </x:c>
      <x:c r="F14" s="145" t="str">
        <x:v>REPLACE_WITH_SCHEMA</x:v>
      </x:c>
      <x:c r="G14" s="145" t="str">
        <x:v>REPLACE_WITH_REPORT_ID</x:v>
      </x:c>
      <x:c r="H14" s="145" t="str">
        <x:v>REPLACE_WITH_REPORT_STATUS</x:v>
      </x:c>
      <x:c r="I14" s="145" t="str">
        <x:v>REPLACE_WITH_SITE_ID</x:v>
      </x:c>
      <x:c r="J14" s="145" t="str">
        <x:v>REPLACE_WITH_TENANT_ID</x:v>
      </x:c>
      <x:c r="K14" s="145" t="str">
        <x:v>REPLACE_WITH_WINDOW_ID</x:v>
      </x:c>
      <x:c r="L14" s="145" t="str">
        <x:v>REPLACE_WITH_TIMEZONE_AWARE_ISO8601</x:v>
      </x:c>
      <x:c r="M14" s="145" t="str">
        <x:v>REPLACE_WITH_TIMEZONE_AWARE_ISO8601</x:v>
      </x:c>
      <x:c r="N14" s="145" t="str">
        <x:v>production_shadow</x:v>
      </x:c>
      <x:c r="O14" s="145" t="str">
        <x:v>REPLACE_WITH_SOURCE_RECORD_IDS</x:v>
      </x:c>
      <x:c r="P14" s="145" t="str">
        <x:v>false</x:v>
      </x:c>
      <x:c r="Q14" s="145" t="str">
        <x:v>rejected</x:v>
      </x:c>
      <x:c r="R14" s="145" t="str">
        <x:v>REPLACE_WITH_EXCEPTION_IDS</x:v>
      </x:c>
      <x:c r="S14" s="145" t="str">
        <x:v>REPLACE_WITH_KEY_ID</x:v>
      </x:c>
      <x:c r="T14" s="145" t="str">
        <x:v>REPLACE_WITH_64_HEX_SHA256</x:v>
      </x:c>
      <x:c r="U14" s="145" t="str">
        <x:v>REPLACE_WITH_BASE64_SIGNATURE</x:v>
      </x:c>
      <x:c r="V14" s="145" t="str">
        <x:v>not_started</x:v>
      </x:c>
      <x:c r="W14" s="145" t="str">
        <x:v>多种子跨季节与故障注入</x:v>
      </x:c>
    </x:row>
    <x:row r="15" ht="25" customHeight="1">
      <x:c r="A15" s="145" t="str">
        <x:v>DOM-010</x:v>
      </x:c>
      <x:c r="B15" s="145" t="str">
        <x:v>carbon_asset_compliance</x:v>
      </x:c>
      <x:c r="C15" s="145" t="str">
        <x:v>碳资产合规</x:v>
      </x:c>
      <x:c r="D15" s="145" t="str">
        <x:v>energy_carbon_owner</x:v>
      </x:c>
      <x:c r="E15" s="145" t="str">
        <x:v>REPLACE_WITH_CARBON_REGISTRY</x:v>
      </x:c>
      <x:c r="F15" s="145" t="str">
        <x:v>REPLACE_WITH_SCHEMA</x:v>
      </x:c>
      <x:c r="G15" s="145" t="str">
        <x:v>REPLACE_WITH_REPORT_ID</x:v>
      </x:c>
      <x:c r="H15" s="145" t="str">
        <x:v>REPLACE_WITH_REPORT_STATUS</x:v>
      </x:c>
      <x:c r="I15" s="145" t="str">
        <x:v>REPLACE_WITH_SITE_ID</x:v>
      </x:c>
      <x:c r="J15" s="145" t="str">
        <x:v>REPLACE_WITH_TENANT_ID</x:v>
      </x:c>
      <x:c r="K15" s="145" t="str">
        <x:v>REPLACE_WITH_WINDOW_ID</x:v>
      </x:c>
      <x:c r="L15" s="145" t="str">
        <x:v>REPLACE_WITH_TIMEZONE_AWARE_ISO8601</x:v>
      </x:c>
      <x:c r="M15" s="145" t="str">
        <x:v>REPLACE_WITH_TIMEZONE_AWARE_ISO8601</x:v>
      </x:c>
      <x:c r="N15" s="145" t="str">
        <x:v>live_site</x:v>
      </x:c>
      <x:c r="O15" s="145" t="str">
        <x:v>REPLACE_WITH_SOURCE_RECORD_IDS</x:v>
      </x:c>
      <x:c r="P15" s="145" t="str">
        <x:v>false</x:v>
      </x:c>
      <x:c r="Q15" s="145" t="str">
        <x:v>rejected</x:v>
      </x:c>
      <x:c r="R15" s="145" t="str">
        <x:v>REPLACE_WITH_EXCEPTION_IDS</x:v>
      </x:c>
      <x:c r="S15" s="145" t="str">
        <x:v>REPLACE_WITH_KEY_ID</x:v>
      </x:c>
      <x:c r="T15" s="145" t="str">
        <x:v>REPLACE_WITH_64_HEX_SHA256</x:v>
      </x:c>
      <x:c r="U15" s="145" t="str">
        <x:v>REPLACE_WITH_BASE64_SIGNATURE</x:v>
      </x:c>
      <x:c r="V15" s="145" t="str">
        <x:v>not_started</x:v>
      </x:c>
      <x:c r="W15" s="145" t="str">
        <x:v>登记簿配额绿证交易和履约</x:v>
      </x:c>
    </x:row>
    <x:row r="16" ht="25" customHeight="1">
      <x:c r="A16" s="145" t="str">
        <x:v>DOM-011</x:v>
      </x:c>
      <x:c r="B16" s="145" t="str">
        <x:v>commercial_settlement</x:v>
      </x:c>
      <x:c r="C16" s="145" t="str">
        <x:v>商业结算能力</x:v>
      </x:c>
      <x:c r="D16" s="145" t="str">
        <x:v>finance_owner</x:v>
      </x:c>
      <x:c r="E16" s="145" t="str">
        <x:v>REPLACE_WITH_SETTLEMENT_SYSTEM</x:v>
      </x:c>
      <x:c r="F16" s="145" t="str">
        <x:v>REPLACE_WITH_SCHEMA</x:v>
      </x:c>
      <x:c r="G16" s="145" t="str">
        <x:v>REPLACE_WITH_REPORT_ID</x:v>
      </x:c>
      <x:c r="H16" s="145" t="str">
        <x:v>REPLACE_WITH_REPORT_STATUS</x:v>
      </x:c>
      <x:c r="I16" s="145" t="str">
        <x:v>REPLACE_WITH_SITE_ID</x:v>
      </x:c>
      <x:c r="J16" s="145" t="str">
        <x:v>REPLACE_WITH_TENANT_ID</x:v>
      </x:c>
      <x:c r="K16" s="145" t="str">
        <x:v>REPLACE_WITH_WINDOW_ID</x:v>
      </x:c>
      <x:c r="L16" s="145" t="str">
        <x:v>REPLACE_WITH_TIMEZONE_AWARE_ISO8601</x:v>
      </x:c>
      <x:c r="M16" s="145" t="str">
        <x:v>REPLACE_WITH_TIMEZONE_AWARE_ISO8601</x:v>
      </x:c>
      <x:c r="N16" s="145" t="str">
        <x:v>live_site</x:v>
      </x:c>
      <x:c r="O16" s="145" t="str">
        <x:v>REPLACE_WITH_SOURCE_RECORD_IDS</x:v>
      </x:c>
      <x:c r="P16" s="145" t="str">
        <x:v>false</x:v>
      </x:c>
      <x:c r="Q16" s="145" t="str">
        <x:v>rejected</x:v>
      </x:c>
      <x:c r="R16" s="145" t="str">
        <x:v>REPLACE_WITH_EXCEPTION_IDS</x:v>
      </x:c>
      <x:c r="S16" s="145" t="str">
        <x:v>REPLACE_WITH_KEY_ID</x:v>
      </x:c>
      <x:c r="T16" s="145" t="str">
        <x:v>REPLACE_WITH_64_HEX_SHA256</x:v>
      </x:c>
      <x:c r="U16" s="145" t="str">
        <x:v>REPLACE_WITH_BASE64_SIGNATURE</x:v>
      </x:c>
      <x:c r="V16" s="145" t="str">
        <x:v>not_started</x:v>
      </x:c>
      <x:c r="W16" s="145" t="str">
        <x:v>真实账单与需求响应结算</x:v>
      </x:c>
    </x:row>
    <x:row r="17" ht="25" customHeight="1">
      <x:c r="A17" s="145" t="str">
        <x:v>DOM-012</x:v>
      </x:c>
      <x:c r="B17" s="145" t="str">
        <x:v>port_collaboration</x:v>
      </x:c>
      <x:c r="C17" s="145" t="str">
        <x:v>港航生态协同</x:v>
      </x:c>
      <x:c r="D17" s="145" t="str">
        <x:v>operations_owner</x:v>
      </x:c>
      <x:c r="E17" s="145" t="str">
        <x:v>REPLACE_WITH_PORT_COMMUNITY_SYSTEM</x:v>
      </x:c>
      <x:c r="F17" s="145" t="str">
        <x:v>REPLACE_WITH_SCHEMA</x:v>
      </x:c>
      <x:c r="G17" s="145" t="str">
        <x:v>REPLACE_WITH_REPORT_ID</x:v>
      </x:c>
      <x:c r="H17" s="145" t="str">
        <x:v>REPLACE_WITH_REPORT_STATUS</x:v>
      </x:c>
      <x:c r="I17" s="145" t="str">
        <x:v>REPLACE_WITH_SITE_ID</x:v>
      </x:c>
      <x:c r="J17" s="145" t="str">
        <x:v>REPLACE_WITH_TENANT_ID</x:v>
      </x:c>
      <x:c r="K17" s="145" t="str">
        <x:v>REPLACE_WITH_WINDOW_ID</x:v>
      </x:c>
      <x:c r="L17" s="145" t="str">
        <x:v>REPLACE_WITH_TIMEZONE_AWARE_ISO8601</x:v>
      </x:c>
      <x:c r="M17" s="145" t="str">
        <x:v>REPLACE_WITH_TIMEZONE_AWARE_ISO8601</x:v>
      </x:c>
      <x:c r="N17" s="145" t="str">
        <x:v>live_site</x:v>
      </x:c>
      <x:c r="O17" s="145" t="str">
        <x:v>REPLACE_WITH_SOURCE_RECORD_IDS</x:v>
      </x:c>
      <x:c r="P17" s="145" t="str">
        <x:v>false</x:v>
      </x:c>
      <x:c r="Q17" s="145" t="str">
        <x:v>rejected</x:v>
      </x:c>
      <x:c r="R17" s="145" t="str">
        <x:v>REPLACE_WITH_EXCEPTION_IDS</x:v>
      </x:c>
      <x:c r="S17" s="145" t="str">
        <x:v>REPLACE_WITH_KEY_ID</x:v>
      </x:c>
      <x:c r="T17" s="145" t="str">
        <x:v>REPLACE_WITH_64_HEX_SHA256</x:v>
      </x:c>
      <x:c r="U17" s="145" t="str">
        <x:v>REPLACE_WITH_BASE64_SIGNATURE</x:v>
      </x:c>
      <x:c r="V17" s="145" t="str">
        <x:v>not_started</x:v>
      </x:c>
      <x:c r="W17" s="145" t="str">
        <x:v>准时到港岸电绿色泊位和收益共享</x:v>
      </x:c>
    </x:row>
    <x:row r="18" ht="25" customHeight="1">
      <x:c r="A18" s="146" t="str">
        <x:v>DOM-013</x:v>
      </x:c>
      <x:c r="B18" s="146" t="str">
        <x:v>enterprise_ot_security</x:v>
      </x:c>
      <x:c r="C18" s="146" t="str">
        <x:v>企业平台与运行安全</x:v>
      </x:c>
      <x:c r="D18" s="146" t="str">
        <x:v>chief_information_security_officer</x:v>
      </x:c>
      <x:c r="E18" s="146" t="str">
        <x:v>REPLACE_WITH_SECURITY_PLATFORM</x:v>
      </x:c>
      <x:c r="F18" s="146" t="str">
        <x:v>REPLACE_WITH_SCHEMA</x:v>
      </x:c>
      <x:c r="G18" s="146" t="str">
        <x:v>REPLACE_WITH_REPORT_ID</x:v>
      </x:c>
      <x:c r="H18" s="146" t="str">
        <x:v>REPLACE_WITH_REPORT_STATUS</x:v>
      </x:c>
      <x:c r="I18" s="146" t="str">
        <x:v>REPLACE_WITH_SITE_ID</x:v>
      </x:c>
      <x:c r="J18" s="146" t="str">
        <x:v>REPLACE_WITH_TENANT_ID</x:v>
      </x:c>
      <x:c r="K18" s="146" t="str">
        <x:v>REPLACE_WITH_WINDOW_ID</x:v>
      </x:c>
      <x:c r="L18" s="146" t="str">
        <x:v>REPLACE_WITH_TIMEZONE_AWARE_ISO8601</x:v>
      </x:c>
      <x:c r="M18" s="146" t="str">
        <x:v>REPLACE_WITH_TIMEZONE_AWARE_ISO8601</x:v>
      </x:c>
      <x:c r="N18" s="146" t="str">
        <x:v>live_site</x:v>
      </x:c>
      <x:c r="O18" s="146" t="str">
        <x:v>REPLACE_WITH_SOURCE_RECORD_IDS</x:v>
      </x:c>
      <x:c r="P18" s="146" t="str">
        <x:v>false</x:v>
      </x:c>
      <x:c r="Q18" s="146" t="str">
        <x:v>rejected</x:v>
      </x:c>
      <x:c r="R18" s="146" t="str">
        <x:v>REPLACE_WITH_EXCEPTION_IDS</x:v>
      </x:c>
      <x:c r="S18" s="146" t="str">
        <x:v>REPLACE_WITH_KEY_ID</x:v>
      </x:c>
      <x:c r="T18" s="146" t="str">
        <x:v>REPLACE_WITH_64_HEX_SHA256</x:v>
      </x:c>
      <x:c r="U18" s="146" t="str">
        <x:v>REPLACE_WITH_BASE64_SIGNATURE</x:v>
      </x:c>
      <x:c r="V18" s="146" t="str">
        <x:v>not_started</x:v>
      </x:c>
      <x:c r="W18" s="146" t="str">
        <x:v>身份租户高可用灾备WORM SIEM PKI分区联锁</x:v>
      </x:c>
    </x:row>
  </x:sheetData>
  <x:mergeCells>
    <x:mergeCell ref="A1:W1"/>
    <x:mergeCell ref="A2:W2"/>
  </x:mergeCells>
  <x:conditionalFormatting sqref="A6:W18">
    <x:cfRule type="containsText" dxfId="36" priority="1" operator="containsText" text="REPLACE_WITH"/>
  </x:conditionalFormatting>
  <x:conditionalFormatting sqref="V6:V18">
    <x:cfRule type="containsText" dxfId="37" priority="2" operator="containsText" text="accepted"/>
    <x:cfRule type="containsText" dxfId="38" priority="3" operator="containsText" text="approved"/>
    <x:cfRule type="containsText" dxfId="39" priority="4" operator="containsText" text="passed"/>
    <x:cfRule type="containsText" dxfId="40" priority="5" operator="containsText" text="not_started"/>
    <x:cfRule type="containsText" dxfId="41" priority="6" operator="containsText" text="blocked"/>
    <x:cfRule type="containsText" dxfId="42" priority="7" operator="containsText" text="rejected"/>
  </x:conditionalFormatting>
  <x:dataValidations count="1">
    <x:dataValidation type="list" sqref="V6:V18">
      <x:formula1>"not_started,in_review,accepted,rejected"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5833ea8e2349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.25" hidden="0" customWidth="1"/>
    <x:col min="3" max="3" width="38" hidden="0" customWidth="1"/>
    <x:col min="4" max="4" width="38" hidden="0" customWidth="1"/>
    <x:col min="5" max="5" width="25" hidden="0" customWidth="1"/>
    <x:col min="6" max="6" width="11" hidden="0" customWidth="1"/>
    <x:col min="7" max="7" width="25" hidden="0" customWidth="1"/>
    <x:col min="8" max="8" width="25" hidden="0" customWidth="1"/>
    <x:col min="9" max="9" width="23.25" hidden="0" customWidth="1"/>
  </x:cols>
  <x:sheetData>
    <x:row r="1" ht="34" customHeight="1">
      <x:c r="A1" s="3" t="str">
        <x:v>十六道投产总门禁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全部门禁通过时仅达到 eligible_for_external_cutover_review；生产权限仍固定为假。</x:v>
      </x:c>
      <x:c r="B2" s="7"/>
      <x:c r="C2" s="7"/>
      <x:c r="D2" s="7"/>
      <x:c r="E2" s="7"/>
      <x:c r="F2" s="7"/>
      <x:c r="G2" s="7"/>
      <x:c r="H2" s="7"/>
      <x:c r="I2" s="7"/>
    </x:row>
    <x:row r="3" ht="25" customHeight="1">
      <x:c r="A3" s="147" t="str">
        <x:v>已通过</x:v>
      </x:c>
      <x:c r="B3" s="148" t="n">
        <x:f>COUNTIF(F6:F21,"passed")</x:f>
        <x:v>0</x:v>
      </x:c>
      <x:c r="C3" s="148" t="str">
        <x:v>总数</x:v>
      </x:c>
      <x:c r="D3" s="148" t="n">
        <x:f>COUNTA(A6:A21)</x:f>
        <x:v>16</x:v>
      </x:c>
      <x:c r="E3" s="148" t="str">
        <x:v>完成率</x:v>
      </x:c>
      <x:c r="F3" s="149" t="n">
        <x:f>IF(D3=0,0,B3/D3)</x:f>
        <x:v>0</x:v>
      </x:c>
      <x:c r="G3" s="148" t="str">
        <x:v>现场状态</x:v>
      </x:c>
      <x:c r="H3" s="150" t="str">
        <x:f>IF(F3=1,"完整","待补齐")</x:f>
        <x:v>待补齐</x:v>
      </x:c>
      <x:c r="I3" s="69"/>
    </x:row>
    <x:row r="4">
      <x:c r="A4" s="69"/>
      <x:c r="B4" s="69"/>
      <x:c r="C4" s="69"/>
      <x:c r="D4" s="69"/>
      <x:c r="E4" s="69"/>
      <x:c r="F4" s="69"/>
      <x:c r="G4" s="69"/>
      <x:c r="H4" s="69"/>
      <x:c r="I4" s="69"/>
    </x:row>
    <x:row r="5" ht="36" customHeight="1">
      <x:c r="A5" s="134" t="str">
        <x:v>gate_id</x:v>
      </x:c>
      <x:c r="B5" s="135" t="str">
        <x:v>gate_name</x:v>
      </x:c>
      <x:c r="C5" s="135" t="str">
        <x:v>required_condition</x:v>
      </x:c>
      <x:c r="D5" s="135" t="str">
        <x:v>evidence_reference</x:v>
      </x:c>
      <x:c r="E5" s="135" t="str">
        <x:v>owner_role</x:v>
      </x:c>
      <x:c r="F5" s="135" t="str">
        <x:v>status</x:v>
      </x:c>
      <x:c r="G5" s="135" t="str">
        <x:v>verified_at</x:v>
      </x:c>
      <x:c r="H5" s="135" t="str">
        <x:v>verifier_id</x:v>
      </x:c>
      <x:c r="I5" s="136" t="str">
        <x:v>notes</x:v>
      </x:c>
    </x:row>
    <x:row r="6" ht="25" customHeight="1">
      <x:c r="A6" s="144" t="str">
        <x:v>GATE-01</x:v>
      </x:c>
      <x:c r="B6" s="144" t="str">
        <x:v>十三域完整性</x:v>
      </x:c>
      <x:c r="C6" s="144" t="str">
        <x:v>十三个域恰好各一份且无重复</x:v>
      </x:c>
      <x:c r="D6" s="144" t="str">
        <x:v>domain_acceptance_register.template.csv</x:v>
      </x:c>
      <x:c r="E6" s="144" t="str">
        <x:v>port_owner</x:v>
      </x:c>
      <x:c r="F6" s="144" t="str">
        <x:v>blocked</x:v>
      </x:c>
      <x:c r="G6" s="144" t="str">
        <x:v>REPLACE_WITH_TIMEZONE_AWARE_ISO8601</x:v>
      </x:c>
      <x:c r="H6" s="144" t="str">
        <x:v>REPLACE_WITH_VERIFIER</x:v>
      </x:c>
      <x:c r="I6" s="144" t="str">
        <x:v>不得删减域</x:v>
      </x:c>
    </x:row>
    <x:row r="7" ht="25" customHeight="1">
      <x:c r="A7" s="145" t="str">
        <x:v>GATE-02</x:v>
      </x:c>
      <x:c r="B7" s="145" t="str">
        <x:v>域证据签名</x:v>
      </x:c>
      <x:c r="C7" s="145" t="str">
        <x:v>十三域内容摘要和责任方Ed25519签名有效</x:v>
      </x:c>
      <x:c r="D7" s="145" t="str">
        <x:v>site_cutover_package.template.json</x:v>
      </x:c>
      <x:c r="E7" s="145" t="str">
        <x:v>independent_verifier</x:v>
      </x:c>
      <x:c r="F7" s="145" t="str">
        <x:v>blocked</x:v>
      </x:c>
      <x:c r="G7" s="145" t="str">
        <x:v>REPLACE_WITH_TIMEZONE_AWARE_ISO8601</x:v>
      </x:c>
      <x:c r="H7" s="145" t="str">
        <x:v>REPLACE_WITH_VERIFIER</x:v>
      </x:c>
      <x:c r="I7" s="145" t="str">
        <x:v>签后修改必须阻断</x:v>
      </x:c>
    </x:row>
    <x:row r="8" ht="25" customHeight="1">
      <x:c r="A8" s="145" t="str">
        <x:v>GATE-03</x:v>
      </x:c>
      <x:c r="B8" s="145" t="str">
        <x:v>现场绑定一致</x:v>
      </x:c>
      <x:c r="C8" s="145" t="str">
        <x:v>同一港口租户验收窗口和目标发布</x:v>
      </x:c>
      <x:c r="D8" s="145" t="str">
        <x:v>site_profile.template.yaml</x:v>
      </x:c>
      <x:c r="E8" s="145" t="str">
        <x:v>port_owner</x:v>
      </x:c>
      <x:c r="F8" s="145" t="str">
        <x:v>blocked</x:v>
      </x:c>
      <x:c r="G8" s="145" t="str">
        <x:v>REPLACE_WITH_TIMEZONE_AWARE_ISO8601</x:v>
      </x:c>
      <x:c r="H8" s="145" t="str">
        <x:v>REPLACE_WITH_VERIFIER</x:v>
      </x:c>
      <x:c r="I8" s="145" t="str">
        <x:v>跨站点证据不得混用</x:v>
      </x:c>
    </x:row>
    <x:row r="9" ht="25" customHeight="1">
      <x:c r="A9" s="145" t="str">
        <x:v>GATE-04</x:v>
      </x:c>
      <x:c r="B9" s="145" t="str">
        <x:v>时效与截止点</x:v>
      </x:c>
      <x:c r="C9" s="145" t="str">
        <x:v>数据截止在窗口内且跨域不超过24小时报告不超过30天</x:v>
      </x:c>
      <x:c r="D9" s="145" t="str">
        <x:v>domain_acceptance_register.template.csv</x:v>
      </x:c>
      <x:c r="E9" s="145" t="str">
        <x:v>data_owner</x:v>
      </x:c>
      <x:c r="F9" s="145" t="str">
        <x:v>blocked</x:v>
      </x:c>
      <x:c r="G9" s="145" t="str">
        <x:v>REPLACE_WITH_TIMEZONE_AWARE_ISO8601</x:v>
      </x:c>
      <x:c r="H9" s="145" t="str">
        <x:v>REPLACE_WITH_VERIFIER</x:v>
      </x:c>
      <x:c r="I9" s="145" t="str">
        <x:v>全部时间带时区</x:v>
      </x:c>
    </x:row>
    <x:row r="10" ht="25" customHeight="1">
      <x:c r="A10" s="145" t="str">
        <x:v>GATE-05</x:v>
      </x:c>
      <x:c r="B10" s="145" t="str">
        <x:v>接受与例外</x:v>
      </x:c>
      <x:c r="C10" s="145" t="str">
        <x:v>十三域独立接受且无开放例外</x:v>
      </x:c>
      <x:c r="D10" s="145" t="str">
        <x:v>domain_acceptance_register.template.csv</x:v>
      </x:c>
      <x:c r="E10" s="145" t="str">
        <x:v>independent_verifier</x:v>
      </x:c>
      <x:c r="F10" s="145" t="str">
        <x:v>blocked</x:v>
      </x:c>
      <x:c r="G10" s="145" t="str">
        <x:v>REPLACE_WITH_TIMEZONE_AWARE_ISO8601</x:v>
      </x:c>
      <x:c r="H10" s="145" t="str">
        <x:v>REPLACE_WITH_VERIFIER</x:v>
      </x:c>
      <x:c r="I10" s="145" t="str">
        <x:v>不得以风险接受替代一级二级缺陷关闭</x:v>
      </x:c>
    </x:row>
    <x:row r="11" ht="25" customHeight="1">
      <x:c r="A11" s="145" t="str">
        <x:v>GATE-06</x:v>
      </x:c>
      <x:c r="B11" s="145" t="str">
        <x:v>实时适配器</x:v>
      </x:c>
      <x:c r="C11" s="145" t="str">
        <x:v>至少六类适配器全可用且1000签名快照100原子复合影子快照</x:v>
      </x:c>
      <x:c r="D11" s="145" t="str">
        <x:v>system_mapping.template.csv</x:v>
      </x:c>
      <x:c r="E11" s="145" t="str">
        <x:v>data_owner</x:v>
      </x:c>
      <x:c r="F11" s="145" t="str">
        <x:v>blocked</x:v>
      </x:c>
      <x:c r="G11" s="145" t="str">
        <x:v>REPLACE_WITH_TIMEZONE_AWARE_ISO8601</x:v>
      </x:c>
      <x:c r="H11" s="145" t="str">
        <x:v>REPLACE_WITH_VERIFIER</x:v>
      </x:c>
      <x:c r="I11" s="145" t="str">
        <x:v>需源系统回执</x:v>
      </x:c>
    </x:row>
    <x:row r="12" ht="25" customHeight="1">
      <x:c r="A12" s="145" t="str">
        <x:v>GATE-07</x:v>
      </x:c>
      <x:c r="B12" s="145" t="str">
        <x:v>计量校准对账</x:v>
      </x:c>
      <x:c r="C12" s="145" t="str">
        <x:v>计量校准覆盖100%能量误差不超过1%账单误差不超过0.5%</x:v>
      </x:c>
      <x:c r="D12" s="145" t="str">
        <x:v>meter_device_points.template.csv</x:v>
      </x:c>
      <x:c r="E12" s="145" t="str">
        <x:v>energy_carbon_owner</x:v>
      </x:c>
      <x:c r="F12" s="145" t="str">
        <x:v>blocked</x:v>
      </x:c>
      <x:c r="G12" s="145" t="str">
        <x:v>REPLACE_WITH_TIMEZONE_AWARE_ISO8601</x:v>
      </x:c>
      <x:c r="H12" s="145" t="str">
        <x:v>REPLACE_WITH_VERIFIER</x:v>
      </x:c>
      <x:c r="I12" s="145" t="str">
        <x:v>校准证书在有效期</x:v>
      </x:c>
    </x:row>
    <x:row r="13" ht="25" customHeight="1">
      <x:c r="A13" s="145" t="str">
        <x:v>GATE-08</x:v>
      </x:c>
      <x:c r="B13" s="145" t="str">
        <x:v>180天影子</x:v>
      </x:c>
      <x:c r="C13" s="145" t="str">
        <x:v>连续180天两个运营季节及六类规定场景</x:v>
      </x:c>
      <x:c r="D13" s="145" t="str">
        <x:v>shadow_acceptance_plan.template.csv</x:v>
      </x:c>
      <x:c r="E13" s="145" t="str">
        <x:v>operations_owner</x:v>
      </x:c>
      <x:c r="F13" s="145" t="str">
        <x:v>blocked</x:v>
      </x:c>
      <x:c r="G13" s="145" t="str">
        <x:v>REPLACE_WITH_TIMEZONE_AWARE_ISO8601</x:v>
      </x:c>
      <x:c r="H13" s="145" t="str">
        <x:v>REPLACE_WITH_VERIFIER</x:v>
      </x:c>
      <x:c r="I13" s="145" t="str">
        <x:v>全程只读</x:v>
      </x:c>
    </x:row>
    <x:row r="14" ht="25" customHeight="1">
      <x:c r="A14" s="145" t="str">
        <x:v>GATE-09</x:v>
      </x:c>
      <x:c r="B14" s="145" t="str">
        <x:v>生产执行保护</x:v>
      </x:c>
      <x:c r="C14" s="145" t="str">
        <x:v>外部网关能力检查独立联锁100%最终回执和超时降级</x:v>
      </x:c>
      <x:c r="D14" s="145" t="str">
        <x:v>REPLACE_WITH_EXECUTION_TEST_REPORT</x:v>
      </x:c>
      <x:c r="E14" s="145" t="str">
        <x:v>ot_safety_owner</x:v>
      </x:c>
      <x:c r="F14" s="145" t="str">
        <x:v>blocked</x:v>
      </x:c>
      <x:c r="G14" s="145" t="str">
        <x:v>REPLACE_WITH_TIMEZONE_AWARE_ISO8601</x:v>
      </x:c>
      <x:c r="H14" s="145" t="str">
        <x:v>REPLACE_WITH_VERIFIER</x:v>
      </x:c>
      <x:c r="I14" s="145" t="str">
        <x:v>应用无物理控制权</x:v>
      </x:c>
    </x:row>
    <x:row r="15" ht="25" customHeight="1">
      <x:c r="A15" s="145" t="str">
        <x:v>GATE-10</x:v>
      </x:c>
      <x:c r="B15" s="145" t="str">
        <x:v>人工接管与回滚</x:v>
      </x:c>
      <x:c r="C15" s="145" t="str">
        <x:v>演练通过且回滚不超过策略阈值</x:v>
      </x:c>
      <x:c r="D15" s="145" t="str">
        <x:v>REPLACE_WITH_ROLLBACK_DRILL</x:v>
      </x:c>
      <x:c r="E15" s="145" t="str">
        <x:v>operations_owner</x:v>
      </x:c>
      <x:c r="F15" s="145" t="str">
        <x:v>blocked</x:v>
      </x:c>
      <x:c r="G15" s="145" t="str">
        <x:v>REPLACE_WITH_TIMEZONE_AWARE_ISO8601</x:v>
      </x:c>
      <x:c r="H15" s="145" t="str">
        <x:v>REPLACE_WITH_VERIFIER</x:v>
      </x:c>
      <x:c r="I15" s="145" t="str">
        <x:v>现场安全监护</x:v>
      </x:c>
    </x:row>
    <x:row r="16" ht="25" customHeight="1">
      <x:c r="A16" s="145" t="str">
        <x:v>GATE-11</x:v>
      </x:c>
      <x:c r="B16" s="145" t="str">
        <x:v>备份恢复</x:v>
      </x:c>
      <x:c r="C16" s="145" t="str">
        <x:v>备份恢复演练和实测恢复点恢复时间满足策略</x:v>
      </x:c>
      <x:c r="D16" s="145" t="str">
        <x:v>REPLACE_WITH_DR_REPORT</x:v>
      </x:c>
      <x:c r="E16" s="145" t="str">
        <x:v>chief_information_security_officer</x:v>
      </x:c>
      <x:c r="F16" s="145" t="str">
        <x:v>blocked</x:v>
      </x:c>
      <x:c r="G16" s="145" t="str">
        <x:v>REPLACE_WITH_TIMEZONE_AWARE_ISO8601</x:v>
      </x:c>
      <x:c r="H16" s="145" t="str">
        <x:v>REPLACE_WITH_VERIFIER</x:v>
      </x:c>
      <x:c r="I16" s="145" t="str">
        <x:v>含数据库消息和密钥依赖</x:v>
      </x:c>
    </x:row>
    <x:row r="17" ht="25" customHeight="1">
      <x:c r="A17" s="145" t="str">
        <x:v>GATE-12</x:v>
      </x:c>
      <x:c r="B17" s="145" t="str">
        <x:v>网络安全</x:v>
      </x:c>
      <x:c r="C17" s="145" t="str">
        <x:v>安全事件演练通过且无未关闭一级二级缺陷</x:v>
      </x:c>
      <x:c r="D17" s="145" t="str">
        <x:v>REPLACE_WITH_CYBER_REPORT</x:v>
      </x:c>
      <x:c r="E17" s="145" t="str">
        <x:v>chief_information_security_officer</x:v>
      </x:c>
      <x:c r="F17" s="145" t="str">
        <x:v>blocked</x:v>
      </x:c>
      <x:c r="G17" s="145" t="str">
        <x:v>REPLACE_WITH_TIMEZONE_AWARE_ISO8601</x:v>
      </x:c>
      <x:c r="H17" s="145" t="str">
        <x:v>REPLACE_WITH_VERIFIER</x:v>
      </x:c>
      <x:c r="I17" s="145" t="str">
        <x:v>不得开放临时全通规则</x:v>
      </x:c>
    </x:row>
    <x:row r="18" ht="25" customHeight="1">
      <x:c r="A18" s="145" t="str">
        <x:v>GATE-13</x:v>
      </x:c>
      <x:c r="B18" s="145" t="str">
        <x:v>人员规程与工单</x:v>
      </x:c>
      <x:c r="C18" s="145" t="str">
        <x:v>培训100%且规程运行手册变更单窗口获批</x:v>
      </x:c>
      <x:c r="D18" s="145" t="str">
        <x:v>site_profile.template.yaml</x:v>
      </x:c>
      <x:c r="E18" s="145" t="str">
        <x:v>port_owner</x:v>
      </x:c>
      <x:c r="F18" s="145" t="str">
        <x:v>blocked</x:v>
      </x:c>
      <x:c r="G18" s="145" t="str">
        <x:v>REPLACE_WITH_TIMEZONE_AWARE_ISO8601</x:v>
      </x:c>
      <x:c r="H18" s="145" t="str">
        <x:v>REPLACE_WITH_VERIFIER</x:v>
      </x:c>
      <x:c r="I18" s="145" t="str">
        <x:v>核对现场人员在岗</x:v>
      </x:c>
    </x:row>
    <x:row r="19" ht="25" customHeight="1">
      <x:c r="A19" s="145" t="str">
        <x:v>GATE-14</x:v>
      </x:c>
      <x:c r="B19" s="145" t="str">
        <x:v>独立量测验证</x:v>
      </x:c>
      <x:c r="C19" s="145" t="str">
        <x:v>效益由独立量测验证接受并绑定归因报告</x:v>
      </x:c>
      <x:c r="D19" s="145" t="str">
        <x:v>REPLACE_WITH_MV_REPORT</x:v>
      </x:c>
      <x:c r="E19" s="145" t="str">
        <x:v>independent_verifier</x:v>
      </x:c>
      <x:c r="F19" s="145" t="str">
        <x:v>blocked</x:v>
      </x:c>
      <x:c r="G19" s="145" t="str">
        <x:v>REPLACE_WITH_TIMEZONE_AWARE_ISO8601</x:v>
      </x:c>
      <x:c r="H19" s="145" t="str">
        <x:v>REPLACE_WITH_VERIFIER</x:v>
      </x:c>
      <x:c r="I19" s="145" t="str">
        <x:v>区分估算和真实结算</x:v>
      </x:c>
    </x:row>
    <x:row r="20" ht="25" customHeight="1">
      <x:c r="A20" s="145" t="str">
        <x:v>GATE-15</x:v>
      </x:c>
      <x:c r="B20" s="145" t="str">
        <x:v>六方绑定签字</x:v>
      </x:c>
      <x:c r="C20" s="145" t="str">
        <x:v>六方对同一完整包摘要批准</x:v>
      </x:c>
      <x:c r="D20" s="145" t="str">
        <x:v>approval_register.template.csv</x:v>
      </x:c>
      <x:c r="E20" s="145" t="str">
        <x:v>port_owner</x:v>
      </x:c>
      <x:c r="F20" s="145" t="str">
        <x:v>blocked</x:v>
      </x:c>
      <x:c r="G20" s="145" t="str">
        <x:v>REPLACE_WITH_TIMEZONE_AWARE_ISO8601</x:v>
      </x:c>
      <x:c r="H20" s="145" t="str">
        <x:v>REPLACE_WITH_VERIFIER</x:v>
      </x:c>
      <x:c r="I20" s="145" t="str">
        <x:v>禁止拆分签署</x:v>
      </x:c>
    </x:row>
    <x:row r="21" ht="25" customHeight="1">
      <x:c r="A21" s="146" t="str">
        <x:v>GATE-16</x:v>
      </x:c>
      <x:c r="B21" s="146" t="str">
        <x:v>应用权限边界</x:v>
      </x:c>
      <x:c r="C21" s="146" t="str">
        <x:v>应用无生产授权物理调度和联锁绕过能力</x:v>
      </x:c>
      <x:c r="D21" s="146" t="str">
        <x:v>site_profile.template.yaml</x:v>
      </x:c>
      <x:c r="E21" s="146" t="str">
        <x:v>ot_safety_owner</x:v>
      </x:c>
      <x:c r="F21" s="146" t="str">
        <x:v>blocked</x:v>
      </x:c>
      <x:c r="G21" s="146" t="str">
        <x:v>REPLACE_WITH_TIMEZONE_AWARE_ISO8601</x:v>
      </x:c>
      <x:c r="H21" s="146" t="str">
        <x:v>REPLACE_WITH_VERIFIER</x:v>
      </x:c>
      <x:c r="I21" s="146" t="str">
        <x:v>必须保持失效关闭</x:v>
      </x:c>
    </x:row>
  </x:sheetData>
  <x:mergeCells>
    <x:mergeCell ref="A1:I1"/>
    <x:mergeCell ref="A2:I2"/>
  </x:mergeCells>
  <x:conditionalFormatting sqref="A6:I21">
    <x:cfRule type="containsText" dxfId="43" priority="1" operator="containsText" text="REPLACE_WITH"/>
  </x:conditionalFormatting>
  <x:conditionalFormatting sqref="F6:F21">
    <x:cfRule type="containsText" dxfId="44" priority="2" operator="containsText" text="accepted"/>
    <x:cfRule type="containsText" dxfId="45" priority="3" operator="containsText" text="approved"/>
    <x:cfRule type="containsText" dxfId="46" priority="4" operator="containsText" text="passed"/>
    <x:cfRule type="containsText" dxfId="47" priority="5" operator="containsText" text="not_started"/>
    <x:cfRule type="containsText" dxfId="48" priority="6" operator="containsText" text="blocked"/>
    <x:cfRule type="containsText" dxfId="49" priority="7" operator="containsText" text="rejected"/>
  </x:conditionalFormatting>
  <x:dataValidations count="1">
    <x:dataValidation type="list" sqref="F6:F21">
      <x:formula1>"blocked,in_review,passed,rejected"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52f2d26ad64f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5" hidden="0" customWidth="1"/>
    <x:col min="2" max="2" width="38" hidden="0" customWidth="1"/>
    <x:col min="3" max="3" width="28.25" hidden="0" customWidth="1"/>
    <x:col min="4" max="4" width="12" hidden="0" customWidth="1"/>
    <x:col min="5" max="5" width="38" hidden="0" customWidth="1"/>
    <x:col min="6" max="6" width="34.5" hidden="0" customWidth="1"/>
    <x:col min="7" max="7" width="34.5" hidden="0" customWidth="1"/>
    <x:col min="8" max="8" width="25.75" hidden="0" customWidth="1"/>
    <x:col min="9" max="9" width="38" hidden="0" customWidth="1"/>
    <x:col min="10" max="10" width="15.75" hidden="0" customWidth="1"/>
    <x:col min="11" max="11" width="13.25" hidden="0" customWidth="1"/>
  </x:cols>
  <x:sheetData>
    <x:row r="1" ht="34" customHeight="1">
      <x:c r="A1" s="3" t="str">
        <x:v>六方完整包批准与签字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港口、运营、能碳、运行技术安全、首席信息安全官和独立核证人必须对同一完整包摘要签署。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5" customHeight="1">
      <x:c r="A3" s="147" t="str">
        <x:v>已批准</x:v>
      </x:c>
      <x:c r="B3" s="148" t="n">
        <x:f>COUNTIF(J6:J11,"approved")</x:f>
        <x:v>0</x:v>
      </x:c>
      <x:c r="C3" s="148" t="str">
        <x:v>总数</x:v>
      </x:c>
      <x:c r="D3" s="148" t="n">
        <x:f>COUNTA(A6:A11)</x:f>
        <x:v>6</x:v>
      </x:c>
      <x:c r="E3" s="148" t="str">
        <x:v>完成率</x:v>
      </x:c>
      <x:c r="F3" s="149" t="n">
        <x:f>IF(D3=0,0,B3/D3)</x:f>
        <x:v>0</x:v>
      </x:c>
      <x:c r="G3" s="148" t="str">
        <x:v>现场状态</x:v>
      </x:c>
      <x:c r="H3" s="150" t="str">
        <x:f>IF(F3=1,"完整","待补齐")</x:f>
        <x:v>待补齐</x:v>
      </x:c>
      <x:c r="I3" s="69"/>
      <x:c r="J3" s="69"/>
      <x:c r="K3" s="69"/>
    </x:row>
    <x:row r="4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</x:row>
    <x:row r="5" ht="36" customHeight="1">
      <x:c r="A5" s="134" t="str">
        <x:v>approval_id</x:v>
      </x:c>
      <x:c r="B5" s="135" t="str">
        <x:v>role</x:v>
      </x:c>
      <x:c r="C5" s="135" t="str">
        <x:v>approver_id</x:v>
      </x:c>
      <x:c r="D5" s="135" t="str">
        <x:v>decision</x:v>
      </x:c>
      <x:c r="E5" s="135" t="str">
        <x:v>approved_at</x:v>
      </x:c>
      <x:c r="F5" s="135" t="str">
        <x:v>acceptance_package_sha256</x:v>
      </x:c>
      <x:c r="G5" s="135" t="str">
        <x:v>approval_record_sha256</x:v>
      </x:c>
      <x:c r="H5" s="135" t="str">
        <x:v>key_id</x:v>
      </x:c>
      <x:c r="I5" s="135" t="str">
        <x:v>signature</x:v>
      </x:c>
      <x:c r="J5" s="135" t="str">
        <x:v>status</x:v>
      </x:c>
      <x:c r="K5" s="136" t="str">
        <x:v>notes</x:v>
      </x:c>
    </x:row>
    <x:row r="6" ht="25" customHeight="1">
      <x:c r="A6" s="144" t="str">
        <x:v>APR-001</x:v>
      </x:c>
      <x:c r="B6" s="144" t="str">
        <x:v>port_owner</x:v>
      </x:c>
      <x:c r="C6" s="144" t="str">
        <x:v>REPLACE_WITH_APPROVER</x:v>
      </x:c>
      <x:c r="D6" s="144" t="str">
        <x:v>rejected</x:v>
      </x:c>
      <x:c r="E6" s="144" t="str">
        <x:v>REPLACE_WITH_TIMEZONE_AWARE_ISO8601</x:v>
      </x:c>
      <x:c r="F6" s="144" t="str">
        <x:v>REPLACE_WITH_64_HEX_SHA256</x:v>
      </x:c>
      <x:c r="G6" s="144" t="str">
        <x:v>REPLACE_WITH_64_HEX_SHA256</x:v>
      </x:c>
      <x:c r="H6" s="144" t="str">
        <x:v>REPLACE_WITH_KEY_ID</x:v>
      </x:c>
      <x:c r="I6" s="144" t="str">
        <x:v>REPLACE_WITH_BASE64_SIGNATURE</x:v>
      </x:c>
      <x:c r="J6" s="144" t="str">
        <x:v>not_started</x:v>
      </x:c>
      <x:c r="K6" s="144" t="str">
        <x:v>港口负责人</x:v>
      </x:c>
    </x:row>
    <x:row r="7" ht="25" customHeight="1">
      <x:c r="A7" s="145" t="str">
        <x:v>APR-002</x:v>
      </x:c>
      <x:c r="B7" s="145" t="str">
        <x:v>operations_owner</x:v>
      </x:c>
      <x:c r="C7" s="145" t="str">
        <x:v>REPLACE_WITH_APPROVER</x:v>
      </x:c>
      <x:c r="D7" s="145" t="str">
        <x:v>rejected</x:v>
      </x:c>
      <x:c r="E7" s="145" t="str">
        <x:v>REPLACE_WITH_TIMEZONE_AWARE_ISO8601</x:v>
      </x:c>
      <x:c r="F7" s="145" t="str">
        <x:v>REPLACE_WITH_64_HEX_SHA256</x:v>
      </x:c>
      <x:c r="G7" s="145" t="str">
        <x:v>REPLACE_WITH_64_HEX_SHA256</x:v>
      </x:c>
      <x:c r="H7" s="145" t="str">
        <x:v>REPLACE_WITH_KEY_ID</x:v>
      </x:c>
      <x:c r="I7" s="145" t="str">
        <x:v>REPLACE_WITH_BASE64_SIGNATURE</x:v>
      </x:c>
      <x:c r="J7" s="145" t="str">
        <x:v>not_started</x:v>
      </x:c>
      <x:c r="K7" s="145" t="str">
        <x:v>运营负责人</x:v>
      </x:c>
    </x:row>
    <x:row r="8" ht="25" customHeight="1">
      <x:c r="A8" s="145" t="str">
        <x:v>APR-003</x:v>
      </x:c>
      <x:c r="B8" s="145" t="str">
        <x:v>energy_carbon_owner</x:v>
      </x:c>
      <x:c r="C8" s="145" t="str">
        <x:v>REPLACE_WITH_APPROVER</x:v>
      </x:c>
      <x:c r="D8" s="145" t="str">
        <x:v>rejected</x:v>
      </x:c>
      <x:c r="E8" s="145" t="str">
        <x:v>REPLACE_WITH_TIMEZONE_AWARE_ISO8601</x:v>
      </x:c>
      <x:c r="F8" s="145" t="str">
        <x:v>REPLACE_WITH_64_HEX_SHA256</x:v>
      </x:c>
      <x:c r="G8" s="145" t="str">
        <x:v>REPLACE_WITH_64_HEX_SHA256</x:v>
      </x:c>
      <x:c r="H8" s="145" t="str">
        <x:v>REPLACE_WITH_KEY_ID</x:v>
      </x:c>
      <x:c r="I8" s="145" t="str">
        <x:v>REPLACE_WITH_BASE64_SIGNATURE</x:v>
      </x:c>
      <x:c r="J8" s="145" t="str">
        <x:v>not_started</x:v>
      </x:c>
      <x:c r="K8" s="145" t="str">
        <x:v>能碳负责人</x:v>
      </x:c>
    </x:row>
    <x:row r="9" ht="25" customHeight="1">
      <x:c r="A9" s="145" t="str">
        <x:v>APR-004</x:v>
      </x:c>
      <x:c r="B9" s="145" t="str">
        <x:v>ot_safety_owner</x:v>
      </x:c>
      <x:c r="C9" s="145" t="str">
        <x:v>REPLACE_WITH_APPROVER</x:v>
      </x:c>
      <x:c r="D9" s="145" t="str">
        <x:v>rejected</x:v>
      </x:c>
      <x:c r="E9" s="145" t="str">
        <x:v>REPLACE_WITH_TIMEZONE_AWARE_ISO8601</x:v>
      </x:c>
      <x:c r="F9" s="145" t="str">
        <x:v>REPLACE_WITH_64_HEX_SHA256</x:v>
      </x:c>
      <x:c r="G9" s="145" t="str">
        <x:v>REPLACE_WITH_64_HEX_SHA256</x:v>
      </x:c>
      <x:c r="H9" s="145" t="str">
        <x:v>REPLACE_WITH_KEY_ID</x:v>
      </x:c>
      <x:c r="I9" s="145" t="str">
        <x:v>REPLACE_WITH_BASE64_SIGNATURE</x:v>
      </x:c>
      <x:c r="J9" s="145" t="str">
        <x:v>not_started</x:v>
      </x:c>
      <x:c r="K9" s="145" t="str">
        <x:v>运行技术安全负责人</x:v>
      </x:c>
    </x:row>
    <x:row r="10" ht="25" customHeight="1">
      <x:c r="A10" s="145" t="str">
        <x:v>APR-005</x:v>
      </x:c>
      <x:c r="B10" s="145" t="str">
        <x:v>chief_information_security_officer</x:v>
      </x:c>
      <x:c r="C10" s="145" t="str">
        <x:v>REPLACE_WITH_APPROVER</x:v>
      </x:c>
      <x:c r="D10" s="145" t="str">
        <x:v>rejected</x:v>
      </x:c>
      <x:c r="E10" s="145" t="str">
        <x:v>REPLACE_WITH_TIMEZONE_AWARE_ISO8601</x:v>
      </x:c>
      <x:c r="F10" s="145" t="str">
        <x:v>REPLACE_WITH_64_HEX_SHA256</x:v>
      </x:c>
      <x:c r="G10" s="145" t="str">
        <x:v>REPLACE_WITH_64_HEX_SHA256</x:v>
      </x:c>
      <x:c r="H10" s="145" t="str">
        <x:v>REPLACE_WITH_KEY_ID</x:v>
      </x:c>
      <x:c r="I10" s="145" t="str">
        <x:v>REPLACE_WITH_BASE64_SIGNATURE</x:v>
      </x:c>
      <x:c r="J10" s="145" t="str">
        <x:v>not_started</x:v>
      </x:c>
      <x:c r="K10" s="145" t="str">
        <x:v>首席信息安全官</x:v>
      </x:c>
    </x:row>
    <x:row r="11" ht="25" customHeight="1">
      <x:c r="A11" s="146" t="str">
        <x:v>APR-006</x:v>
      </x:c>
      <x:c r="B11" s="146" t="str">
        <x:v>independent_verifier</x:v>
      </x:c>
      <x:c r="C11" s="146" t="str">
        <x:v>REPLACE_WITH_APPROVER</x:v>
      </x:c>
      <x:c r="D11" s="146" t="str">
        <x:v>rejected</x:v>
      </x:c>
      <x:c r="E11" s="146" t="str">
        <x:v>REPLACE_WITH_TIMEZONE_AWARE_ISO8601</x:v>
      </x:c>
      <x:c r="F11" s="146" t="str">
        <x:v>REPLACE_WITH_64_HEX_SHA256</x:v>
      </x:c>
      <x:c r="G11" s="146" t="str">
        <x:v>REPLACE_WITH_64_HEX_SHA256</x:v>
      </x:c>
      <x:c r="H11" s="146" t="str">
        <x:v>REPLACE_WITH_KEY_ID</x:v>
      </x:c>
      <x:c r="I11" s="146" t="str">
        <x:v>REPLACE_WITH_BASE64_SIGNATURE</x:v>
      </x:c>
      <x:c r="J11" s="146" t="str">
        <x:v>not_started</x:v>
      </x:c>
      <x:c r="K11" s="146" t="str">
        <x:v>独立核证人</x:v>
      </x:c>
    </x:row>
  </x:sheetData>
  <x:mergeCells>
    <x:mergeCell ref="A1:K1"/>
    <x:mergeCell ref="A2:K2"/>
  </x:mergeCells>
  <x:conditionalFormatting sqref="A6:K11">
    <x:cfRule type="containsText" dxfId="50" priority="1" operator="containsText" text="REPLACE_WITH"/>
  </x:conditionalFormatting>
  <x:conditionalFormatting sqref="J6:J11">
    <x:cfRule type="containsText" dxfId="51" priority="2" operator="containsText" text="accepted"/>
    <x:cfRule type="containsText" dxfId="52" priority="3" operator="containsText" text="approved"/>
    <x:cfRule type="containsText" dxfId="53" priority="4" operator="containsText" text="passed"/>
    <x:cfRule type="containsText" dxfId="54" priority="5" operator="containsText" text="not_started"/>
    <x:cfRule type="containsText" dxfId="55" priority="6" operator="containsText" text="blocked"/>
    <x:cfRule type="containsText" dxfId="56" priority="7" operator="containsText" text="rejected"/>
  </x:conditionalFormatting>
  <x:dataValidations count="1">
    <x:dataValidation type="list" sqref="J6:J11">
      <x:formula1>"not_started,pending,approved,rejected"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f2081af23f4db5"/>
  </x:tableParts>
</x:worksheet>
</file>